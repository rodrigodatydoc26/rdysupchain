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vr-ctxpfl-01\CtxProfiles\antonio.souza\Desktop\"/>
    </mc:Choice>
  </mc:AlternateContent>
  <xr:revisionPtr revIDLastSave="0" documentId="13_ncr:1_{D867EFC6-82E4-4E85-9F25-D8ED368C1DF6}" xr6:coauthVersionLast="47" xr6:coauthVersionMax="47" xr10:uidLastSave="{00000000-0000-0000-0000-000000000000}"/>
  <bookViews>
    <workbookView xWindow="-120" yWindow="-120" windowWidth="29040" windowHeight="15840" activeTab="3" xr2:uid="{D03F5E2A-1251-45F9-B51A-279EE6A0683F}"/>
  </bookViews>
  <sheets>
    <sheet name="LIMEIRA " sheetId="1" r:id="rId1"/>
    <sheet name="SETEMBRO" sheetId="2" r:id="rId2"/>
    <sheet name="OUTUBRO" sheetId="5" r:id="rId3"/>
    <sheet name="NOVEMBRO" sheetId="6" r:id="rId4"/>
  </sheets>
  <definedNames>
    <definedName name="_xlnm._FilterDatabase" localSheetId="0" hidden="1">'LIMEIRA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5" i="6" l="1"/>
  <c r="I126" i="6"/>
  <c r="D131" i="6"/>
  <c r="D130" i="6"/>
  <c r="D129" i="6"/>
  <c r="D128" i="6"/>
  <c r="D127" i="6"/>
  <c r="D126" i="6"/>
  <c r="D125" i="6"/>
  <c r="I124" i="6"/>
  <c r="D124" i="6"/>
  <c r="I123" i="6"/>
  <c r="D123" i="6"/>
  <c r="I122" i="6"/>
  <c r="D122" i="6"/>
  <c r="I121" i="6"/>
  <c r="D121" i="6"/>
  <c r="I120" i="6"/>
  <c r="D120" i="6"/>
  <c r="I119" i="6"/>
  <c r="D119" i="6"/>
  <c r="I118" i="6"/>
  <c r="D118" i="6"/>
  <c r="I117" i="6"/>
  <c r="D117" i="6"/>
  <c r="I116" i="6"/>
  <c r="D116" i="6"/>
  <c r="I115" i="6"/>
  <c r="D115" i="6"/>
  <c r="I114" i="6"/>
  <c r="D114" i="6"/>
  <c r="I113" i="6"/>
  <c r="D113" i="6"/>
  <c r="I112" i="6"/>
  <c r="D112" i="6"/>
  <c r="I111" i="6"/>
  <c r="D111" i="6"/>
  <c r="I110" i="6"/>
  <c r="D110" i="6"/>
  <c r="I109" i="6"/>
  <c r="D109" i="6"/>
  <c r="I108" i="6"/>
  <c r="D108" i="6"/>
  <c r="I107" i="6"/>
  <c r="D107" i="6"/>
  <c r="I106" i="6"/>
  <c r="D106" i="6"/>
  <c r="I105" i="6"/>
  <c r="D105" i="6"/>
  <c r="I104" i="6"/>
  <c r="D104" i="6"/>
  <c r="I103" i="6"/>
  <c r="D103" i="6"/>
  <c r="I102" i="6"/>
  <c r="D102" i="6"/>
  <c r="I101" i="6"/>
  <c r="D101" i="6"/>
  <c r="I100" i="6"/>
  <c r="D100" i="6"/>
  <c r="I99" i="6"/>
  <c r="D99" i="6"/>
  <c r="I98" i="6"/>
  <c r="D98" i="6"/>
  <c r="I97" i="6"/>
  <c r="D97" i="6"/>
  <c r="I96" i="6"/>
  <c r="D96" i="6"/>
  <c r="I95" i="6"/>
  <c r="D95" i="6"/>
  <c r="I94" i="6"/>
  <c r="D94" i="6"/>
  <c r="I93" i="6"/>
  <c r="D93" i="6"/>
  <c r="I92" i="6"/>
  <c r="D92" i="6"/>
  <c r="I91" i="6"/>
  <c r="D91" i="6"/>
  <c r="I90" i="6"/>
  <c r="D90" i="6"/>
  <c r="I89" i="6"/>
  <c r="D89" i="6"/>
  <c r="I88" i="6"/>
  <c r="D88" i="6"/>
  <c r="I87" i="6"/>
  <c r="D87" i="6"/>
  <c r="I86" i="6"/>
  <c r="D86" i="6"/>
  <c r="I85" i="6"/>
  <c r="D85" i="6"/>
  <c r="I84" i="6"/>
  <c r="D84" i="6"/>
  <c r="I83" i="6"/>
  <c r="D83" i="6"/>
  <c r="I82" i="6"/>
  <c r="D82" i="6"/>
  <c r="I81" i="6"/>
  <c r="D81" i="6"/>
  <c r="I80" i="6"/>
  <c r="D80" i="6"/>
  <c r="I79" i="6"/>
  <c r="D79" i="6"/>
  <c r="I78" i="6"/>
  <c r="D78" i="6"/>
  <c r="I77" i="6"/>
  <c r="D77" i="6"/>
  <c r="I76" i="6"/>
  <c r="D76" i="6"/>
  <c r="I75" i="6"/>
  <c r="D75" i="6"/>
  <c r="I74" i="6"/>
  <c r="D74" i="6"/>
  <c r="I73" i="6"/>
  <c r="D73" i="6"/>
  <c r="I72" i="6"/>
  <c r="D72" i="6"/>
  <c r="I71" i="6"/>
  <c r="D71" i="6"/>
  <c r="I70" i="6"/>
  <c r="D70" i="6"/>
  <c r="N69" i="6"/>
  <c r="I69" i="6"/>
  <c r="D69" i="6"/>
  <c r="N68" i="6"/>
  <c r="I68" i="6"/>
  <c r="D68" i="6"/>
  <c r="N67" i="6"/>
  <c r="I67" i="6"/>
  <c r="D67" i="6"/>
  <c r="N66" i="6"/>
  <c r="I66" i="6"/>
  <c r="D66" i="6"/>
  <c r="N65" i="6"/>
  <c r="I65" i="6"/>
  <c r="D65" i="6"/>
  <c r="N64" i="6"/>
  <c r="I64" i="6"/>
  <c r="D64" i="6"/>
  <c r="N63" i="6"/>
  <c r="I63" i="6"/>
  <c r="D63" i="6"/>
  <c r="N62" i="6"/>
  <c r="I62" i="6"/>
  <c r="D62" i="6"/>
  <c r="N61" i="6"/>
  <c r="I61" i="6"/>
  <c r="D61" i="6"/>
  <c r="N60" i="6"/>
  <c r="I60" i="6"/>
  <c r="D60" i="6"/>
  <c r="N59" i="6"/>
  <c r="I59" i="6"/>
  <c r="D59" i="6"/>
  <c r="N58" i="6"/>
  <c r="I58" i="6"/>
  <c r="D58" i="6"/>
  <c r="N57" i="6"/>
  <c r="I57" i="6"/>
  <c r="D57" i="6"/>
  <c r="N56" i="6"/>
  <c r="I56" i="6"/>
  <c r="D56" i="6"/>
  <c r="N55" i="6"/>
  <c r="I55" i="6"/>
  <c r="D55" i="6"/>
  <c r="N54" i="6"/>
  <c r="I54" i="6"/>
  <c r="D54" i="6"/>
  <c r="N53" i="6"/>
  <c r="I53" i="6"/>
  <c r="D53" i="6"/>
  <c r="N52" i="6"/>
  <c r="I52" i="6"/>
  <c r="D52" i="6"/>
  <c r="N51" i="6"/>
  <c r="I51" i="6"/>
  <c r="D51" i="6"/>
  <c r="N50" i="6"/>
  <c r="I50" i="6"/>
  <c r="D50" i="6"/>
  <c r="N49" i="6"/>
  <c r="I49" i="6"/>
  <c r="D49" i="6"/>
  <c r="N48" i="6"/>
  <c r="I48" i="6"/>
  <c r="D48" i="6"/>
  <c r="N47" i="6"/>
  <c r="I47" i="6"/>
  <c r="D47" i="6"/>
  <c r="N46" i="6"/>
  <c r="I46" i="6"/>
  <c r="D46" i="6"/>
  <c r="N45" i="6"/>
  <c r="I45" i="6"/>
  <c r="D45" i="6"/>
  <c r="N44" i="6"/>
  <c r="I44" i="6"/>
  <c r="D44" i="6"/>
  <c r="N43" i="6"/>
  <c r="I43" i="6"/>
  <c r="D43" i="6"/>
  <c r="N42" i="6"/>
  <c r="I42" i="6"/>
  <c r="D42" i="6"/>
  <c r="N41" i="6"/>
  <c r="I41" i="6"/>
  <c r="D41" i="6"/>
  <c r="N40" i="6"/>
  <c r="I40" i="6"/>
  <c r="D40" i="6"/>
  <c r="N39" i="6"/>
  <c r="I39" i="6"/>
  <c r="D39" i="6"/>
  <c r="N38" i="6"/>
  <c r="I38" i="6"/>
  <c r="D38" i="6"/>
  <c r="N37" i="6"/>
  <c r="I37" i="6"/>
  <c r="D37" i="6"/>
  <c r="N36" i="6"/>
  <c r="I36" i="6"/>
  <c r="D36" i="6"/>
  <c r="N35" i="6"/>
  <c r="I35" i="6"/>
  <c r="D35" i="6"/>
  <c r="S34" i="6"/>
  <c r="N34" i="6"/>
  <c r="I34" i="6"/>
  <c r="D34" i="6"/>
  <c r="S33" i="6"/>
  <c r="N33" i="6"/>
  <c r="I33" i="6"/>
  <c r="D33" i="6"/>
  <c r="S32" i="6"/>
  <c r="N32" i="6"/>
  <c r="I32" i="6"/>
  <c r="D32" i="6"/>
  <c r="S31" i="6"/>
  <c r="N31" i="6"/>
  <c r="I31" i="6"/>
  <c r="D31" i="6"/>
  <c r="S30" i="6"/>
  <c r="N30" i="6"/>
  <c r="I30" i="6"/>
  <c r="D30" i="6"/>
  <c r="S29" i="6"/>
  <c r="N29" i="6"/>
  <c r="I29" i="6"/>
  <c r="D29" i="6"/>
  <c r="S28" i="6"/>
  <c r="N28" i="6"/>
  <c r="I28" i="6"/>
  <c r="D28" i="6"/>
  <c r="S27" i="6"/>
  <c r="N27" i="6"/>
  <c r="I27" i="6"/>
  <c r="D27" i="6"/>
  <c r="S26" i="6"/>
  <c r="N26" i="6"/>
  <c r="I26" i="6"/>
  <c r="D26" i="6"/>
  <c r="S25" i="6"/>
  <c r="N25" i="6"/>
  <c r="I25" i="6"/>
  <c r="D25" i="6"/>
  <c r="S24" i="6"/>
  <c r="N24" i="6"/>
  <c r="I24" i="6"/>
  <c r="D24" i="6"/>
  <c r="S23" i="6"/>
  <c r="N23" i="6"/>
  <c r="I23" i="6"/>
  <c r="D23" i="6"/>
  <c r="S22" i="6"/>
  <c r="N22" i="6"/>
  <c r="I22" i="6"/>
  <c r="D22" i="6"/>
  <c r="S21" i="6"/>
  <c r="N21" i="6"/>
  <c r="I21" i="6"/>
  <c r="D21" i="6"/>
  <c r="S20" i="6"/>
  <c r="N20" i="6"/>
  <c r="I20" i="6"/>
  <c r="D20" i="6"/>
  <c r="S19" i="6"/>
  <c r="N19" i="6"/>
  <c r="I19" i="6"/>
  <c r="D19" i="6"/>
  <c r="S18" i="6"/>
  <c r="N18" i="6"/>
  <c r="I18" i="6"/>
  <c r="D18" i="6"/>
  <c r="S17" i="6"/>
  <c r="N17" i="6"/>
  <c r="I17" i="6"/>
  <c r="D17" i="6"/>
  <c r="S16" i="6"/>
  <c r="N16" i="6"/>
  <c r="I16" i="6"/>
  <c r="D16" i="6"/>
  <c r="S15" i="6"/>
  <c r="N15" i="6"/>
  <c r="I15" i="6"/>
  <c r="D15" i="6"/>
  <c r="S14" i="6"/>
  <c r="N14" i="6"/>
  <c r="I14" i="6"/>
  <c r="D14" i="6"/>
  <c r="S13" i="6"/>
  <c r="N13" i="6"/>
  <c r="I13" i="6"/>
  <c r="D13" i="6"/>
  <c r="S12" i="6"/>
  <c r="N12" i="6"/>
  <c r="I12" i="6"/>
  <c r="D12" i="6"/>
  <c r="S11" i="6"/>
  <c r="N11" i="6"/>
  <c r="I11" i="6"/>
  <c r="D11" i="6"/>
  <c r="S10" i="6"/>
  <c r="N10" i="6"/>
  <c r="I10" i="6"/>
  <c r="D10" i="6"/>
  <c r="S9" i="6"/>
  <c r="N9" i="6"/>
  <c r="I9" i="6"/>
  <c r="D9" i="6"/>
  <c r="S8" i="6"/>
  <c r="N8" i="6"/>
  <c r="I8" i="6"/>
  <c r="D8" i="6"/>
  <c r="S7" i="6"/>
  <c r="N7" i="6"/>
  <c r="I7" i="6"/>
  <c r="D7" i="6"/>
  <c r="S6" i="6"/>
  <c r="N6" i="6"/>
  <c r="I6" i="6"/>
  <c r="D6" i="6"/>
  <c r="S5" i="6"/>
  <c r="N5" i="6"/>
  <c r="I5" i="6"/>
  <c r="D5" i="6"/>
  <c r="S4" i="6"/>
  <c r="N4" i="6"/>
  <c r="I4" i="6"/>
  <c r="D4" i="6"/>
  <c r="S3" i="6"/>
  <c r="N3" i="6"/>
  <c r="I3" i="6"/>
  <c r="D3" i="6"/>
  <c r="S35" i="5"/>
  <c r="N70" i="5"/>
  <c r="N71" i="5"/>
  <c r="N72" i="5"/>
  <c r="N73" i="5"/>
  <c r="N74" i="5"/>
  <c r="N75" i="5"/>
  <c r="N76" i="5"/>
  <c r="N77" i="5"/>
  <c r="N78" i="5"/>
  <c r="N79" i="5"/>
  <c r="D129" i="5"/>
  <c r="D130" i="5"/>
  <c r="D131" i="5"/>
  <c r="D132" i="5"/>
  <c r="D128" i="5"/>
  <c r="D127" i="5"/>
  <c r="D126" i="5"/>
  <c r="D125" i="5"/>
  <c r="I124" i="5"/>
  <c r="D124" i="5"/>
  <c r="I123" i="5"/>
  <c r="D123" i="5"/>
  <c r="I122" i="5"/>
  <c r="D122" i="5"/>
  <c r="I121" i="5"/>
  <c r="D121" i="5"/>
  <c r="I120" i="5"/>
  <c r="D120" i="5"/>
  <c r="I119" i="5"/>
  <c r="D119" i="5"/>
  <c r="I118" i="5"/>
  <c r="D118" i="5"/>
  <c r="I117" i="5"/>
  <c r="D117" i="5"/>
  <c r="I116" i="5"/>
  <c r="D116" i="5"/>
  <c r="I115" i="5"/>
  <c r="D115" i="5"/>
  <c r="I114" i="5"/>
  <c r="D114" i="5"/>
  <c r="I113" i="5"/>
  <c r="D113" i="5"/>
  <c r="I112" i="5"/>
  <c r="D112" i="5"/>
  <c r="I111" i="5"/>
  <c r="D111" i="5"/>
  <c r="I110" i="5"/>
  <c r="D110" i="5"/>
  <c r="I109" i="5"/>
  <c r="D109" i="5"/>
  <c r="I108" i="5"/>
  <c r="D108" i="5"/>
  <c r="I107" i="5"/>
  <c r="D107" i="5"/>
  <c r="I106" i="5"/>
  <c r="D106" i="5"/>
  <c r="I105" i="5"/>
  <c r="D105" i="5"/>
  <c r="I104" i="5"/>
  <c r="D104" i="5"/>
  <c r="I103" i="5"/>
  <c r="D103" i="5"/>
  <c r="I102" i="5"/>
  <c r="D102" i="5"/>
  <c r="I101" i="5"/>
  <c r="D101" i="5"/>
  <c r="I100" i="5"/>
  <c r="D100" i="5"/>
  <c r="I99" i="5"/>
  <c r="D99" i="5"/>
  <c r="I98" i="5"/>
  <c r="D98" i="5"/>
  <c r="I97" i="5"/>
  <c r="D97" i="5"/>
  <c r="I96" i="5"/>
  <c r="D96" i="5"/>
  <c r="I95" i="5"/>
  <c r="D95" i="5"/>
  <c r="I94" i="5"/>
  <c r="D94" i="5"/>
  <c r="I93" i="5"/>
  <c r="D93" i="5"/>
  <c r="I92" i="5"/>
  <c r="D92" i="5"/>
  <c r="I91" i="5"/>
  <c r="D91" i="5"/>
  <c r="I90" i="5"/>
  <c r="D90" i="5"/>
  <c r="I89" i="5"/>
  <c r="D89" i="5"/>
  <c r="I88" i="5"/>
  <c r="D88" i="5"/>
  <c r="I87" i="5"/>
  <c r="D87" i="5"/>
  <c r="I86" i="5"/>
  <c r="D86" i="5"/>
  <c r="I85" i="5"/>
  <c r="D85" i="5"/>
  <c r="I84" i="5"/>
  <c r="D84" i="5"/>
  <c r="I83" i="5"/>
  <c r="D83" i="5"/>
  <c r="I82" i="5"/>
  <c r="D82" i="5"/>
  <c r="I81" i="5"/>
  <c r="D81" i="5"/>
  <c r="I80" i="5"/>
  <c r="D80" i="5"/>
  <c r="I79" i="5"/>
  <c r="D79" i="5"/>
  <c r="I78" i="5"/>
  <c r="D78" i="5"/>
  <c r="I77" i="5"/>
  <c r="D77" i="5"/>
  <c r="I76" i="5"/>
  <c r="D76" i="5"/>
  <c r="I75" i="5"/>
  <c r="D75" i="5"/>
  <c r="I74" i="5"/>
  <c r="D74" i="5"/>
  <c r="I73" i="5"/>
  <c r="D73" i="5"/>
  <c r="I72" i="5"/>
  <c r="D72" i="5"/>
  <c r="I71" i="5"/>
  <c r="D71" i="5"/>
  <c r="I70" i="5"/>
  <c r="D70" i="5"/>
  <c r="N69" i="5"/>
  <c r="I69" i="5"/>
  <c r="D69" i="5"/>
  <c r="N68" i="5"/>
  <c r="I68" i="5"/>
  <c r="D68" i="5"/>
  <c r="N67" i="5"/>
  <c r="I67" i="5"/>
  <c r="D67" i="5"/>
  <c r="N66" i="5"/>
  <c r="I66" i="5"/>
  <c r="D66" i="5"/>
  <c r="N65" i="5"/>
  <c r="I65" i="5"/>
  <c r="D65" i="5"/>
  <c r="N64" i="5"/>
  <c r="I64" i="5"/>
  <c r="D64" i="5"/>
  <c r="N63" i="5"/>
  <c r="I63" i="5"/>
  <c r="D63" i="5"/>
  <c r="N62" i="5"/>
  <c r="I62" i="5"/>
  <c r="D62" i="5"/>
  <c r="N61" i="5"/>
  <c r="I61" i="5"/>
  <c r="D61" i="5"/>
  <c r="N60" i="5"/>
  <c r="I60" i="5"/>
  <c r="D60" i="5"/>
  <c r="N59" i="5"/>
  <c r="I59" i="5"/>
  <c r="D59" i="5"/>
  <c r="N58" i="5"/>
  <c r="I58" i="5"/>
  <c r="D58" i="5"/>
  <c r="N57" i="5"/>
  <c r="I57" i="5"/>
  <c r="D57" i="5"/>
  <c r="N56" i="5"/>
  <c r="I56" i="5"/>
  <c r="D56" i="5"/>
  <c r="N55" i="5"/>
  <c r="I55" i="5"/>
  <c r="D55" i="5"/>
  <c r="N54" i="5"/>
  <c r="I54" i="5"/>
  <c r="D54" i="5"/>
  <c r="N53" i="5"/>
  <c r="I53" i="5"/>
  <c r="D53" i="5"/>
  <c r="N52" i="5"/>
  <c r="I52" i="5"/>
  <c r="D52" i="5"/>
  <c r="N51" i="5"/>
  <c r="I51" i="5"/>
  <c r="D51" i="5"/>
  <c r="N50" i="5"/>
  <c r="I50" i="5"/>
  <c r="D50" i="5"/>
  <c r="N49" i="5"/>
  <c r="I49" i="5"/>
  <c r="D49" i="5"/>
  <c r="N48" i="5"/>
  <c r="I48" i="5"/>
  <c r="D48" i="5"/>
  <c r="N47" i="5"/>
  <c r="I47" i="5"/>
  <c r="D47" i="5"/>
  <c r="N46" i="5"/>
  <c r="I46" i="5"/>
  <c r="D46" i="5"/>
  <c r="N45" i="5"/>
  <c r="I45" i="5"/>
  <c r="D45" i="5"/>
  <c r="N44" i="5"/>
  <c r="I44" i="5"/>
  <c r="D44" i="5"/>
  <c r="N43" i="5"/>
  <c r="I43" i="5"/>
  <c r="D43" i="5"/>
  <c r="N42" i="5"/>
  <c r="I42" i="5"/>
  <c r="D42" i="5"/>
  <c r="N41" i="5"/>
  <c r="I41" i="5"/>
  <c r="D41" i="5"/>
  <c r="N40" i="5"/>
  <c r="I40" i="5"/>
  <c r="D40" i="5"/>
  <c r="N39" i="5"/>
  <c r="I39" i="5"/>
  <c r="D39" i="5"/>
  <c r="N38" i="5"/>
  <c r="I38" i="5"/>
  <c r="D38" i="5"/>
  <c r="N37" i="5"/>
  <c r="I37" i="5"/>
  <c r="D37" i="5"/>
  <c r="N36" i="5"/>
  <c r="I36" i="5"/>
  <c r="D36" i="5"/>
  <c r="N35" i="5"/>
  <c r="I35" i="5"/>
  <c r="D35" i="5"/>
  <c r="S34" i="5"/>
  <c r="N34" i="5"/>
  <c r="I34" i="5"/>
  <c r="D34" i="5"/>
  <c r="S33" i="5"/>
  <c r="N33" i="5"/>
  <c r="I33" i="5"/>
  <c r="D33" i="5"/>
  <c r="S32" i="5"/>
  <c r="N32" i="5"/>
  <c r="I32" i="5"/>
  <c r="D32" i="5"/>
  <c r="S31" i="5"/>
  <c r="N31" i="5"/>
  <c r="I31" i="5"/>
  <c r="D31" i="5"/>
  <c r="S30" i="5"/>
  <c r="N30" i="5"/>
  <c r="I30" i="5"/>
  <c r="D30" i="5"/>
  <c r="S29" i="5"/>
  <c r="N29" i="5"/>
  <c r="I29" i="5"/>
  <c r="D29" i="5"/>
  <c r="S28" i="5"/>
  <c r="N28" i="5"/>
  <c r="I28" i="5"/>
  <c r="D28" i="5"/>
  <c r="S27" i="5"/>
  <c r="N27" i="5"/>
  <c r="I27" i="5"/>
  <c r="D27" i="5"/>
  <c r="S26" i="5"/>
  <c r="N26" i="5"/>
  <c r="I26" i="5"/>
  <c r="D26" i="5"/>
  <c r="S25" i="5"/>
  <c r="N25" i="5"/>
  <c r="I25" i="5"/>
  <c r="D25" i="5"/>
  <c r="S24" i="5"/>
  <c r="N24" i="5"/>
  <c r="I24" i="5"/>
  <c r="D24" i="5"/>
  <c r="S23" i="5"/>
  <c r="N23" i="5"/>
  <c r="I23" i="5"/>
  <c r="D23" i="5"/>
  <c r="S22" i="5"/>
  <c r="N22" i="5"/>
  <c r="I22" i="5"/>
  <c r="D22" i="5"/>
  <c r="S21" i="5"/>
  <c r="N21" i="5"/>
  <c r="I21" i="5"/>
  <c r="D21" i="5"/>
  <c r="S20" i="5"/>
  <c r="N20" i="5"/>
  <c r="I20" i="5"/>
  <c r="D20" i="5"/>
  <c r="S19" i="5"/>
  <c r="N19" i="5"/>
  <c r="I19" i="5"/>
  <c r="D19" i="5"/>
  <c r="S18" i="5"/>
  <c r="N18" i="5"/>
  <c r="I18" i="5"/>
  <c r="D18" i="5"/>
  <c r="S17" i="5"/>
  <c r="N17" i="5"/>
  <c r="I17" i="5"/>
  <c r="D17" i="5"/>
  <c r="S16" i="5"/>
  <c r="N16" i="5"/>
  <c r="I16" i="5"/>
  <c r="D16" i="5"/>
  <c r="S15" i="5"/>
  <c r="N15" i="5"/>
  <c r="I15" i="5"/>
  <c r="D15" i="5"/>
  <c r="S14" i="5"/>
  <c r="N14" i="5"/>
  <c r="I14" i="5"/>
  <c r="D14" i="5"/>
  <c r="S13" i="5"/>
  <c r="N13" i="5"/>
  <c r="I13" i="5"/>
  <c r="D13" i="5"/>
  <c r="S12" i="5"/>
  <c r="N12" i="5"/>
  <c r="I12" i="5"/>
  <c r="D12" i="5"/>
  <c r="S11" i="5"/>
  <c r="N11" i="5"/>
  <c r="I11" i="5"/>
  <c r="D11" i="5"/>
  <c r="S10" i="5"/>
  <c r="N10" i="5"/>
  <c r="I10" i="5"/>
  <c r="D10" i="5"/>
  <c r="S9" i="5"/>
  <c r="N9" i="5"/>
  <c r="I9" i="5"/>
  <c r="D9" i="5"/>
  <c r="S8" i="5"/>
  <c r="N8" i="5"/>
  <c r="I8" i="5"/>
  <c r="D8" i="5"/>
  <c r="S7" i="5"/>
  <c r="N7" i="5"/>
  <c r="I7" i="5"/>
  <c r="D7" i="5"/>
  <c r="S6" i="5"/>
  <c r="N6" i="5"/>
  <c r="I6" i="5"/>
  <c r="D6" i="5"/>
  <c r="S5" i="5"/>
  <c r="N5" i="5"/>
  <c r="I5" i="5"/>
  <c r="D5" i="5"/>
  <c r="S4" i="5"/>
  <c r="N4" i="5"/>
  <c r="I4" i="5"/>
  <c r="D4" i="5"/>
  <c r="S3" i="5"/>
  <c r="N3" i="5"/>
  <c r="I3" i="5"/>
  <c r="D3" i="5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3" i="2"/>
  <c r="U109" i="1"/>
  <c r="V109" i="1" s="1"/>
  <c r="U108" i="1"/>
  <c r="V108" i="1" s="1"/>
  <c r="U107" i="1"/>
  <c r="V107" i="1" s="1"/>
  <c r="U106" i="1"/>
  <c r="V106" i="1" s="1"/>
  <c r="U105" i="1"/>
  <c r="V105" i="1" s="1"/>
  <c r="U104" i="1"/>
  <c r="V104" i="1" s="1"/>
  <c r="U103" i="1"/>
  <c r="V103" i="1" s="1"/>
  <c r="U102" i="1"/>
  <c r="V102" i="1" s="1"/>
  <c r="U101" i="1"/>
  <c r="V101" i="1" s="1"/>
  <c r="U100" i="1"/>
  <c r="V100" i="1" s="1"/>
  <c r="U99" i="1"/>
  <c r="V99" i="1" s="1"/>
  <c r="U98" i="1"/>
  <c r="V98" i="1" s="1"/>
  <c r="U97" i="1"/>
  <c r="V97" i="1" s="1"/>
  <c r="U96" i="1"/>
  <c r="V96" i="1" s="1"/>
  <c r="U95" i="1"/>
  <c r="V95" i="1" s="1"/>
  <c r="U94" i="1"/>
  <c r="V94" i="1" s="1"/>
  <c r="U93" i="1"/>
  <c r="V93" i="1" s="1"/>
  <c r="U92" i="1"/>
  <c r="V92" i="1" s="1"/>
  <c r="U91" i="1"/>
  <c r="V91" i="1" s="1"/>
  <c r="U90" i="1"/>
  <c r="V90" i="1" s="1"/>
  <c r="U89" i="1"/>
  <c r="V89" i="1" s="1"/>
  <c r="U88" i="1"/>
  <c r="V88" i="1" s="1"/>
  <c r="U87" i="1"/>
  <c r="V87" i="1" s="1"/>
  <c r="U86" i="1"/>
  <c r="V86" i="1" s="1"/>
  <c r="U85" i="1"/>
  <c r="V85" i="1" s="1"/>
  <c r="U84" i="1"/>
  <c r="V84" i="1" s="1"/>
  <c r="U83" i="1"/>
  <c r="V83" i="1" s="1"/>
  <c r="U82" i="1"/>
  <c r="V82" i="1" s="1"/>
  <c r="U81" i="1"/>
  <c r="V81" i="1" s="1"/>
  <c r="U80" i="1"/>
  <c r="V80" i="1" s="1"/>
  <c r="U79" i="1"/>
  <c r="V79" i="1" s="1"/>
  <c r="U78" i="1"/>
  <c r="V78" i="1" s="1"/>
  <c r="U77" i="1"/>
  <c r="V77" i="1" s="1"/>
  <c r="U76" i="1"/>
  <c r="V76" i="1" s="1"/>
  <c r="U75" i="1"/>
  <c r="V75" i="1" s="1"/>
  <c r="U74" i="1"/>
  <c r="V74" i="1" s="1"/>
  <c r="U73" i="1"/>
  <c r="V73" i="1" s="1"/>
  <c r="U72" i="1"/>
  <c r="V72" i="1" s="1"/>
  <c r="U71" i="1"/>
  <c r="V71" i="1" s="1"/>
  <c r="U70" i="1"/>
  <c r="V70" i="1" s="1"/>
  <c r="U69" i="1"/>
  <c r="V69" i="1" s="1"/>
  <c r="U68" i="1"/>
  <c r="V68" i="1" s="1"/>
  <c r="U67" i="1"/>
  <c r="V67" i="1" s="1"/>
  <c r="U66" i="1"/>
  <c r="V66" i="1" s="1"/>
  <c r="U65" i="1"/>
  <c r="V65" i="1" s="1"/>
  <c r="U64" i="1"/>
  <c r="V64" i="1" s="1"/>
  <c r="U63" i="1"/>
  <c r="V63" i="1" s="1"/>
  <c r="U62" i="1"/>
  <c r="V62" i="1" s="1"/>
  <c r="U61" i="1"/>
  <c r="V61" i="1" s="1"/>
  <c r="U60" i="1"/>
  <c r="V60" i="1" s="1"/>
  <c r="U59" i="1"/>
  <c r="V59" i="1" s="1"/>
  <c r="U58" i="1"/>
  <c r="V58" i="1" s="1"/>
  <c r="U57" i="1"/>
  <c r="V57" i="1" s="1"/>
  <c r="U56" i="1"/>
  <c r="V56" i="1" s="1"/>
  <c r="U55" i="1"/>
  <c r="V55" i="1" s="1"/>
  <c r="U54" i="1"/>
  <c r="V54" i="1" s="1"/>
  <c r="U53" i="1"/>
  <c r="V53" i="1" s="1"/>
  <c r="U52" i="1"/>
  <c r="V52" i="1" s="1"/>
  <c r="U51" i="1"/>
  <c r="V51" i="1" s="1"/>
  <c r="U50" i="1"/>
  <c r="V50" i="1" s="1"/>
  <c r="U49" i="1"/>
  <c r="V49" i="1" s="1"/>
  <c r="U48" i="1"/>
  <c r="V48" i="1" s="1"/>
  <c r="U47" i="1"/>
  <c r="V47" i="1" s="1"/>
  <c r="U46" i="1"/>
  <c r="V46" i="1" s="1"/>
  <c r="U45" i="1"/>
  <c r="V45" i="1" s="1"/>
  <c r="U44" i="1"/>
  <c r="V44" i="1" s="1"/>
  <c r="U43" i="1"/>
  <c r="V43" i="1" s="1"/>
  <c r="U42" i="1"/>
  <c r="V42" i="1" s="1"/>
  <c r="U41" i="1"/>
  <c r="V41" i="1" s="1"/>
  <c r="U40" i="1"/>
  <c r="V40" i="1" s="1"/>
  <c r="U39" i="1"/>
  <c r="V39" i="1" s="1"/>
  <c r="U38" i="1"/>
  <c r="V38" i="1" s="1"/>
  <c r="U37" i="1"/>
  <c r="V37" i="1" s="1"/>
  <c r="U36" i="1"/>
  <c r="V36" i="1" s="1"/>
  <c r="U35" i="1"/>
  <c r="V35" i="1" s="1"/>
  <c r="U34" i="1"/>
  <c r="V34" i="1" s="1"/>
  <c r="U33" i="1"/>
  <c r="V33" i="1" s="1"/>
  <c r="U32" i="1"/>
  <c r="V32" i="1" s="1"/>
  <c r="U31" i="1"/>
  <c r="V31" i="1" s="1"/>
  <c r="U30" i="1"/>
  <c r="V30" i="1" s="1"/>
  <c r="U29" i="1"/>
  <c r="V29" i="1" s="1"/>
  <c r="U28" i="1"/>
  <c r="V28" i="1" s="1"/>
  <c r="U27" i="1"/>
  <c r="V27" i="1" s="1"/>
  <c r="U26" i="1"/>
  <c r="V26" i="1" s="1"/>
  <c r="U25" i="1"/>
  <c r="V25" i="1" s="1"/>
  <c r="U24" i="1"/>
  <c r="V24" i="1" s="1"/>
  <c r="U23" i="1"/>
  <c r="V23" i="1" s="1"/>
  <c r="U22" i="1"/>
  <c r="V22" i="1" s="1"/>
  <c r="U21" i="1"/>
  <c r="V21" i="1" s="1"/>
  <c r="U20" i="1"/>
  <c r="V20" i="1" s="1"/>
  <c r="U19" i="1"/>
  <c r="V19" i="1" s="1"/>
  <c r="U18" i="1"/>
  <c r="V18" i="1" s="1"/>
  <c r="U17" i="1"/>
  <c r="V17" i="1" s="1"/>
  <c r="U16" i="1"/>
  <c r="V16" i="1" s="1"/>
  <c r="U15" i="1"/>
  <c r="V15" i="1" s="1"/>
  <c r="U14" i="1"/>
  <c r="V14" i="1" s="1"/>
  <c r="U13" i="1"/>
  <c r="V13" i="1" s="1"/>
  <c r="U12" i="1"/>
  <c r="V12" i="1" s="1"/>
  <c r="U11" i="1"/>
  <c r="V11" i="1" s="1"/>
  <c r="U10" i="1"/>
  <c r="V10" i="1" s="1"/>
  <c r="U9" i="1"/>
  <c r="V9" i="1" s="1"/>
  <c r="U8" i="1"/>
  <c r="V8" i="1" s="1"/>
  <c r="U7" i="1"/>
  <c r="V7" i="1" s="1"/>
  <c r="U6" i="1"/>
  <c r="V6" i="1" s="1"/>
  <c r="U5" i="1"/>
  <c r="V5" i="1" s="1"/>
  <c r="U4" i="1"/>
  <c r="V4" i="1" s="1"/>
  <c r="U3" i="1"/>
  <c r="V3" i="1" s="1"/>
  <c r="AN4" i="1"/>
  <c r="AO4" i="1" s="1"/>
  <c r="AP4" i="1" s="1"/>
  <c r="AN5" i="1"/>
  <c r="AO5" i="1" s="1"/>
  <c r="AP5" i="1" s="1"/>
  <c r="AN6" i="1"/>
  <c r="AO6" i="1" s="1"/>
  <c r="AP6" i="1" s="1"/>
  <c r="AN7" i="1"/>
  <c r="AO7" i="1" s="1"/>
  <c r="AP7" i="1" s="1"/>
  <c r="AN8" i="1"/>
  <c r="AO8" i="1" s="1"/>
  <c r="AP8" i="1" s="1"/>
  <c r="AN9" i="1"/>
  <c r="AO9" i="1" s="1"/>
  <c r="AP9" i="1" s="1"/>
  <c r="AN10" i="1"/>
  <c r="AO10" i="1" s="1"/>
  <c r="AP10" i="1" s="1"/>
  <c r="AN11" i="1"/>
  <c r="AO11" i="1" s="1"/>
  <c r="AP11" i="1" s="1"/>
  <c r="AN12" i="1"/>
  <c r="AO12" i="1" s="1"/>
  <c r="AP12" i="1" s="1"/>
  <c r="AN13" i="1"/>
  <c r="AO13" i="1" s="1"/>
  <c r="AP13" i="1" s="1"/>
  <c r="AN14" i="1"/>
  <c r="AO14" i="1" s="1"/>
  <c r="AP14" i="1" s="1"/>
  <c r="AN15" i="1"/>
  <c r="AO15" i="1" s="1"/>
  <c r="AP15" i="1" s="1"/>
  <c r="AN16" i="1"/>
  <c r="AO16" i="1" s="1"/>
  <c r="AP16" i="1" s="1"/>
  <c r="AN17" i="1"/>
  <c r="AO17" i="1" s="1"/>
  <c r="AP17" i="1" s="1"/>
  <c r="AN18" i="1"/>
  <c r="AO18" i="1" s="1"/>
  <c r="AP18" i="1" s="1"/>
  <c r="AN19" i="1"/>
  <c r="AO19" i="1" s="1"/>
  <c r="AP19" i="1" s="1"/>
  <c r="AN20" i="1"/>
  <c r="AO20" i="1" s="1"/>
  <c r="AP20" i="1" s="1"/>
  <c r="AN21" i="1"/>
  <c r="AO21" i="1" s="1"/>
  <c r="AP21" i="1" s="1"/>
  <c r="AN22" i="1"/>
  <c r="AO22" i="1" s="1"/>
  <c r="AP22" i="1" s="1"/>
  <c r="AN23" i="1"/>
  <c r="AO23" i="1" s="1"/>
  <c r="AP23" i="1" s="1"/>
  <c r="AN24" i="1"/>
  <c r="AO24" i="1" s="1"/>
  <c r="AP24" i="1" s="1"/>
  <c r="AN25" i="1"/>
  <c r="AO25" i="1" s="1"/>
  <c r="AP25" i="1" s="1"/>
  <c r="AN26" i="1"/>
  <c r="AO26" i="1" s="1"/>
  <c r="AP26" i="1" s="1"/>
  <c r="AN27" i="1"/>
  <c r="AO27" i="1" s="1"/>
  <c r="AP27" i="1" s="1"/>
  <c r="AN28" i="1"/>
  <c r="AO28" i="1" s="1"/>
  <c r="AP28" i="1" s="1"/>
  <c r="AN29" i="1"/>
  <c r="AO29" i="1" s="1"/>
  <c r="AP29" i="1" s="1"/>
  <c r="AN30" i="1"/>
  <c r="AO30" i="1" s="1"/>
  <c r="AP30" i="1" s="1"/>
  <c r="AN31" i="1"/>
  <c r="AO31" i="1" s="1"/>
  <c r="AP31" i="1" s="1"/>
  <c r="AN32" i="1"/>
  <c r="AO32" i="1" s="1"/>
  <c r="AP32" i="1" s="1"/>
  <c r="AN33" i="1"/>
  <c r="AO33" i="1" s="1"/>
  <c r="AP33" i="1" s="1"/>
  <c r="AN34" i="1"/>
  <c r="AO34" i="1" s="1"/>
  <c r="AP34" i="1" s="1"/>
  <c r="AN3" i="1"/>
  <c r="AO3" i="1" s="1"/>
  <c r="AP3" i="1" s="1"/>
  <c r="AD4" i="1"/>
  <c r="AE4" i="1" s="1"/>
  <c r="AF4" i="1" s="1"/>
  <c r="AD5" i="1"/>
  <c r="AE5" i="1" s="1"/>
  <c r="AF5" i="1" s="1"/>
  <c r="AD6" i="1"/>
  <c r="AE6" i="1" s="1"/>
  <c r="AF6" i="1" s="1"/>
  <c r="AD7" i="1"/>
  <c r="AE7" i="1" s="1"/>
  <c r="AF7" i="1" s="1"/>
  <c r="AD8" i="1"/>
  <c r="AE8" i="1" s="1"/>
  <c r="AF8" i="1" s="1"/>
  <c r="AD9" i="1"/>
  <c r="AE9" i="1" s="1"/>
  <c r="AF9" i="1" s="1"/>
  <c r="AD10" i="1"/>
  <c r="AE10" i="1" s="1"/>
  <c r="AF10" i="1" s="1"/>
  <c r="AD11" i="1"/>
  <c r="AE11" i="1" s="1"/>
  <c r="AF11" i="1" s="1"/>
  <c r="AD12" i="1"/>
  <c r="AE12" i="1" s="1"/>
  <c r="AF12" i="1" s="1"/>
  <c r="AD13" i="1"/>
  <c r="AE13" i="1" s="1"/>
  <c r="AF13" i="1" s="1"/>
  <c r="AD14" i="1"/>
  <c r="AE14" i="1" s="1"/>
  <c r="AF14" i="1" s="1"/>
  <c r="AD15" i="1"/>
  <c r="AE15" i="1" s="1"/>
  <c r="AF15" i="1" s="1"/>
  <c r="AD16" i="1"/>
  <c r="AE16" i="1" s="1"/>
  <c r="AF16" i="1" s="1"/>
  <c r="AD17" i="1"/>
  <c r="AE17" i="1" s="1"/>
  <c r="AF17" i="1" s="1"/>
  <c r="AD18" i="1"/>
  <c r="AE18" i="1" s="1"/>
  <c r="AF18" i="1" s="1"/>
  <c r="AD19" i="1"/>
  <c r="AE19" i="1" s="1"/>
  <c r="AF19" i="1" s="1"/>
  <c r="AD20" i="1"/>
  <c r="AE20" i="1" s="1"/>
  <c r="AF20" i="1" s="1"/>
  <c r="AD21" i="1"/>
  <c r="AE21" i="1" s="1"/>
  <c r="AF21" i="1" s="1"/>
  <c r="AD22" i="1"/>
  <c r="AE22" i="1" s="1"/>
  <c r="AF22" i="1" s="1"/>
  <c r="AD23" i="1"/>
  <c r="AE23" i="1" s="1"/>
  <c r="AF23" i="1" s="1"/>
  <c r="AD24" i="1"/>
  <c r="AE24" i="1" s="1"/>
  <c r="AF24" i="1" s="1"/>
  <c r="AD25" i="1"/>
  <c r="AE25" i="1" s="1"/>
  <c r="AF25" i="1" s="1"/>
  <c r="AD26" i="1"/>
  <c r="AE26" i="1" s="1"/>
  <c r="AF26" i="1" s="1"/>
  <c r="AD27" i="1"/>
  <c r="AE27" i="1" s="1"/>
  <c r="AF27" i="1" s="1"/>
  <c r="AD28" i="1"/>
  <c r="AE28" i="1" s="1"/>
  <c r="AF28" i="1" s="1"/>
  <c r="AD29" i="1"/>
  <c r="AE29" i="1" s="1"/>
  <c r="AF29" i="1" s="1"/>
  <c r="AD30" i="1"/>
  <c r="AE30" i="1" s="1"/>
  <c r="AF30" i="1" s="1"/>
  <c r="AD31" i="1"/>
  <c r="AE31" i="1" s="1"/>
  <c r="AF31" i="1" s="1"/>
  <c r="AD32" i="1"/>
  <c r="AE32" i="1" s="1"/>
  <c r="AF32" i="1" s="1"/>
  <c r="AD33" i="1"/>
  <c r="AE33" i="1" s="1"/>
  <c r="AF33" i="1" s="1"/>
  <c r="AD34" i="1"/>
  <c r="AE34" i="1" s="1"/>
  <c r="AF34" i="1" s="1"/>
  <c r="AD35" i="1"/>
  <c r="AE35" i="1" s="1"/>
  <c r="AF35" i="1" s="1"/>
  <c r="AD36" i="1"/>
  <c r="AE36" i="1" s="1"/>
  <c r="AF36" i="1" s="1"/>
  <c r="AD37" i="1"/>
  <c r="AE37" i="1" s="1"/>
  <c r="AF37" i="1" s="1"/>
  <c r="AD38" i="1"/>
  <c r="AE38" i="1" s="1"/>
  <c r="AF38" i="1" s="1"/>
  <c r="AD39" i="1"/>
  <c r="AE39" i="1" s="1"/>
  <c r="AF39" i="1" s="1"/>
  <c r="AD40" i="1"/>
  <c r="AE40" i="1" s="1"/>
  <c r="AF40" i="1" s="1"/>
  <c r="AD41" i="1"/>
  <c r="AE41" i="1" s="1"/>
  <c r="AF41" i="1" s="1"/>
  <c r="AD42" i="1"/>
  <c r="AE42" i="1" s="1"/>
  <c r="AF42" i="1" s="1"/>
  <c r="AD43" i="1"/>
  <c r="AE43" i="1" s="1"/>
  <c r="AF43" i="1" s="1"/>
  <c r="AD44" i="1"/>
  <c r="AE44" i="1" s="1"/>
  <c r="AF44" i="1" s="1"/>
  <c r="AD45" i="1"/>
  <c r="AE45" i="1" s="1"/>
  <c r="AF45" i="1" s="1"/>
  <c r="AD46" i="1"/>
  <c r="AE46" i="1" s="1"/>
  <c r="AF46" i="1" s="1"/>
  <c r="AD47" i="1"/>
  <c r="AE47" i="1" s="1"/>
  <c r="AF47" i="1" s="1"/>
  <c r="AD48" i="1"/>
  <c r="AE48" i="1" s="1"/>
  <c r="AF48" i="1" s="1"/>
  <c r="AD49" i="1"/>
  <c r="AE49" i="1" s="1"/>
  <c r="AF49" i="1" s="1"/>
  <c r="AD50" i="1"/>
  <c r="AE50" i="1" s="1"/>
  <c r="AF50" i="1" s="1"/>
  <c r="AD51" i="1"/>
  <c r="AE51" i="1" s="1"/>
  <c r="AF51" i="1" s="1"/>
  <c r="AD52" i="1"/>
  <c r="AE52" i="1" s="1"/>
  <c r="AF52" i="1" s="1"/>
  <c r="AD53" i="1"/>
  <c r="AE53" i="1" s="1"/>
  <c r="AF53" i="1" s="1"/>
  <c r="AD54" i="1"/>
  <c r="AE54" i="1" s="1"/>
  <c r="AF54" i="1" s="1"/>
  <c r="AD55" i="1"/>
  <c r="AE55" i="1" s="1"/>
  <c r="AF55" i="1" s="1"/>
  <c r="AD56" i="1"/>
  <c r="AE56" i="1" s="1"/>
  <c r="AF56" i="1" s="1"/>
  <c r="AD57" i="1"/>
  <c r="AE57" i="1" s="1"/>
  <c r="AF57" i="1" s="1"/>
  <c r="AD3" i="1"/>
  <c r="AE3" i="1" s="1"/>
  <c r="AF3" i="1" s="1"/>
  <c r="M4" i="1"/>
  <c r="N4" i="1" s="1"/>
  <c r="O4" i="1" s="1"/>
  <c r="M5" i="1"/>
  <c r="N5" i="1" s="1"/>
  <c r="O5" i="1" s="1"/>
  <c r="M6" i="1"/>
  <c r="N6" i="1" s="1"/>
  <c r="O6" i="1" s="1"/>
  <c r="M7" i="1"/>
  <c r="N7" i="1" s="1"/>
  <c r="O7" i="1" s="1"/>
  <c r="M8" i="1"/>
  <c r="N8" i="1" s="1"/>
  <c r="O8" i="1" s="1"/>
  <c r="M9" i="1"/>
  <c r="N9" i="1" s="1"/>
  <c r="O9" i="1" s="1"/>
  <c r="M10" i="1"/>
  <c r="N10" i="1" s="1"/>
  <c r="O10" i="1" s="1"/>
  <c r="M11" i="1"/>
  <c r="N11" i="1" s="1"/>
  <c r="O11" i="1" s="1"/>
  <c r="M12" i="1"/>
  <c r="N12" i="1" s="1"/>
  <c r="O12" i="1" s="1"/>
  <c r="M13" i="1"/>
  <c r="N13" i="1" s="1"/>
  <c r="O13" i="1" s="1"/>
  <c r="M14" i="1"/>
  <c r="N14" i="1" s="1"/>
  <c r="O14" i="1" s="1"/>
  <c r="M15" i="1"/>
  <c r="N15" i="1" s="1"/>
  <c r="O15" i="1" s="1"/>
  <c r="M16" i="1"/>
  <c r="N16" i="1" s="1"/>
  <c r="O16" i="1" s="1"/>
  <c r="M17" i="1"/>
  <c r="N17" i="1" s="1"/>
  <c r="O17" i="1" s="1"/>
  <c r="M18" i="1"/>
  <c r="N18" i="1" s="1"/>
  <c r="O18" i="1" s="1"/>
  <c r="M19" i="1"/>
  <c r="N19" i="1" s="1"/>
  <c r="O19" i="1" s="1"/>
  <c r="M20" i="1"/>
  <c r="N20" i="1" s="1"/>
  <c r="O20" i="1" s="1"/>
  <c r="M21" i="1"/>
  <c r="N21" i="1" s="1"/>
  <c r="O21" i="1" s="1"/>
  <c r="M22" i="1"/>
  <c r="N22" i="1" s="1"/>
  <c r="O22" i="1" s="1"/>
  <c r="M23" i="1"/>
  <c r="N23" i="1" s="1"/>
  <c r="O23" i="1" s="1"/>
  <c r="M24" i="1"/>
  <c r="N24" i="1" s="1"/>
  <c r="O24" i="1" s="1"/>
  <c r="M25" i="1"/>
  <c r="N25" i="1" s="1"/>
  <c r="O25" i="1" s="1"/>
  <c r="M26" i="1"/>
  <c r="N26" i="1" s="1"/>
  <c r="O26" i="1" s="1"/>
  <c r="M27" i="1"/>
  <c r="N27" i="1" s="1"/>
  <c r="O27" i="1" s="1"/>
  <c r="M28" i="1"/>
  <c r="N28" i="1" s="1"/>
  <c r="O28" i="1" s="1"/>
  <c r="M29" i="1"/>
  <c r="N29" i="1" s="1"/>
  <c r="O29" i="1" s="1"/>
  <c r="M30" i="1"/>
  <c r="N30" i="1" s="1"/>
  <c r="O30" i="1" s="1"/>
  <c r="M31" i="1"/>
  <c r="N31" i="1" s="1"/>
  <c r="O31" i="1" s="1"/>
  <c r="M32" i="1"/>
  <c r="N32" i="1" s="1"/>
  <c r="O32" i="1" s="1"/>
  <c r="M33" i="1"/>
  <c r="N33" i="1" s="1"/>
  <c r="O33" i="1" s="1"/>
  <c r="M34" i="1"/>
  <c r="N34" i="1" s="1"/>
  <c r="O34" i="1" s="1"/>
  <c r="M35" i="1"/>
  <c r="N35" i="1" s="1"/>
  <c r="O35" i="1" s="1"/>
  <c r="M36" i="1"/>
  <c r="N36" i="1" s="1"/>
  <c r="O36" i="1" s="1"/>
  <c r="M37" i="1"/>
  <c r="N37" i="1" s="1"/>
  <c r="O37" i="1" s="1"/>
  <c r="M38" i="1"/>
  <c r="N38" i="1" s="1"/>
  <c r="O38" i="1" s="1"/>
  <c r="M39" i="1"/>
  <c r="N39" i="1" s="1"/>
  <c r="O39" i="1" s="1"/>
  <c r="M40" i="1"/>
  <c r="N40" i="1" s="1"/>
  <c r="O40" i="1" s="1"/>
  <c r="M41" i="1"/>
  <c r="N41" i="1" s="1"/>
  <c r="O41" i="1" s="1"/>
  <c r="M42" i="1"/>
  <c r="N42" i="1" s="1"/>
  <c r="O42" i="1" s="1"/>
  <c r="M43" i="1"/>
  <c r="N43" i="1" s="1"/>
  <c r="O43" i="1" s="1"/>
  <c r="M44" i="1"/>
  <c r="N44" i="1" s="1"/>
  <c r="O44" i="1" s="1"/>
  <c r="M45" i="1"/>
  <c r="N45" i="1" s="1"/>
  <c r="O45" i="1" s="1"/>
  <c r="M46" i="1"/>
  <c r="N46" i="1" s="1"/>
  <c r="O46" i="1" s="1"/>
  <c r="M47" i="1"/>
  <c r="N47" i="1" s="1"/>
  <c r="O47" i="1" s="1"/>
  <c r="M48" i="1"/>
  <c r="N48" i="1" s="1"/>
  <c r="O48" i="1" s="1"/>
  <c r="M49" i="1"/>
  <c r="N49" i="1" s="1"/>
  <c r="O49" i="1" s="1"/>
  <c r="M50" i="1"/>
  <c r="N50" i="1" s="1"/>
  <c r="O50" i="1" s="1"/>
  <c r="M51" i="1"/>
  <c r="N51" i="1" s="1"/>
  <c r="O51" i="1" s="1"/>
  <c r="M52" i="1"/>
  <c r="N52" i="1" s="1"/>
  <c r="O52" i="1" s="1"/>
  <c r="M53" i="1"/>
  <c r="N53" i="1" s="1"/>
  <c r="O53" i="1" s="1"/>
  <c r="M54" i="1"/>
  <c r="N54" i="1" s="1"/>
  <c r="O54" i="1" s="1"/>
  <c r="M55" i="1"/>
  <c r="N55" i="1" s="1"/>
  <c r="O55" i="1" s="1"/>
  <c r="M56" i="1"/>
  <c r="N56" i="1" s="1"/>
  <c r="O56" i="1" s="1"/>
  <c r="M57" i="1"/>
  <c r="N57" i="1" s="1"/>
  <c r="O57" i="1" s="1"/>
  <c r="M58" i="1"/>
  <c r="N58" i="1" s="1"/>
  <c r="O58" i="1" s="1"/>
  <c r="M59" i="1"/>
  <c r="N59" i="1" s="1"/>
  <c r="O59" i="1" s="1"/>
  <c r="M60" i="1"/>
  <c r="N60" i="1" s="1"/>
  <c r="O60" i="1" s="1"/>
  <c r="M61" i="1"/>
  <c r="N61" i="1" s="1"/>
  <c r="O61" i="1" s="1"/>
  <c r="M62" i="1"/>
  <c r="N62" i="1" s="1"/>
  <c r="O62" i="1" s="1"/>
  <c r="M63" i="1"/>
  <c r="N63" i="1" s="1"/>
  <c r="O63" i="1" s="1"/>
  <c r="M64" i="1"/>
  <c r="N64" i="1" s="1"/>
  <c r="O64" i="1" s="1"/>
  <c r="M65" i="1"/>
  <c r="N65" i="1" s="1"/>
  <c r="O65" i="1" s="1"/>
  <c r="M66" i="1"/>
  <c r="N66" i="1" s="1"/>
  <c r="O66" i="1" s="1"/>
  <c r="M67" i="1"/>
  <c r="N67" i="1" s="1"/>
  <c r="O67" i="1" s="1"/>
  <c r="M68" i="1"/>
  <c r="N68" i="1" s="1"/>
  <c r="O68" i="1" s="1"/>
  <c r="M69" i="1"/>
  <c r="N69" i="1" s="1"/>
  <c r="O69" i="1" s="1"/>
  <c r="M70" i="1"/>
  <c r="N70" i="1" s="1"/>
  <c r="O70" i="1" s="1"/>
  <c r="M71" i="1"/>
  <c r="N71" i="1" s="1"/>
  <c r="O71" i="1" s="1"/>
  <c r="M72" i="1"/>
  <c r="N72" i="1" s="1"/>
  <c r="O72" i="1" s="1"/>
  <c r="M73" i="1"/>
  <c r="N73" i="1" s="1"/>
  <c r="O73" i="1" s="1"/>
  <c r="M74" i="1"/>
  <c r="N74" i="1" s="1"/>
  <c r="O74" i="1" s="1"/>
  <c r="M75" i="1"/>
  <c r="N75" i="1" s="1"/>
  <c r="O75" i="1" s="1"/>
  <c r="M76" i="1"/>
  <c r="N76" i="1" s="1"/>
  <c r="O76" i="1" s="1"/>
  <c r="M77" i="1"/>
  <c r="N77" i="1" s="1"/>
  <c r="O77" i="1" s="1"/>
  <c r="M78" i="1"/>
  <c r="N78" i="1" s="1"/>
  <c r="O78" i="1" s="1"/>
  <c r="M79" i="1"/>
  <c r="N79" i="1" s="1"/>
  <c r="O79" i="1" s="1"/>
  <c r="M80" i="1"/>
  <c r="N80" i="1" s="1"/>
  <c r="O80" i="1" s="1"/>
  <c r="M81" i="1"/>
  <c r="N81" i="1" s="1"/>
  <c r="O81" i="1" s="1"/>
  <c r="M82" i="1"/>
  <c r="N82" i="1" s="1"/>
  <c r="O82" i="1" s="1"/>
  <c r="M83" i="1"/>
  <c r="N83" i="1" s="1"/>
  <c r="O83" i="1" s="1"/>
  <c r="M84" i="1"/>
  <c r="N84" i="1" s="1"/>
  <c r="O84" i="1" s="1"/>
  <c r="M85" i="1"/>
  <c r="N85" i="1" s="1"/>
  <c r="O85" i="1" s="1"/>
  <c r="M86" i="1"/>
  <c r="N86" i="1" s="1"/>
  <c r="O86" i="1" s="1"/>
  <c r="M87" i="1"/>
  <c r="N87" i="1" s="1"/>
  <c r="O87" i="1" s="1"/>
  <c r="M88" i="1"/>
  <c r="N88" i="1" s="1"/>
  <c r="O88" i="1" s="1"/>
  <c r="M89" i="1"/>
  <c r="N89" i="1" s="1"/>
  <c r="O89" i="1" s="1"/>
  <c r="M90" i="1"/>
  <c r="N90" i="1" s="1"/>
  <c r="O90" i="1" s="1"/>
  <c r="M91" i="1"/>
  <c r="N91" i="1" s="1"/>
  <c r="O91" i="1" s="1"/>
  <c r="M92" i="1"/>
  <c r="N92" i="1" s="1"/>
  <c r="O92" i="1" s="1"/>
  <c r="M93" i="1"/>
  <c r="N93" i="1" s="1"/>
  <c r="O93" i="1" s="1"/>
  <c r="M94" i="1"/>
  <c r="N94" i="1" s="1"/>
  <c r="O94" i="1" s="1"/>
  <c r="M95" i="1"/>
  <c r="N95" i="1" s="1"/>
  <c r="O95" i="1" s="1"/>
  <c r="M96" i="1"/>
  <c r="N96" i="1" s="1"/>
  <c r="O96" i="1" s="1"/>
  <c r="M97" i="1"/>
  <c r="N97" i="1" s="1"/>
  <c r="O97" i="1" s="1"/>
  <c r="M98" i="1"/>
  <c r="N98" i="1" s="1"/>
  <c r="O98" i="1" s="1"/>
  <c r="M99" i="1"/>
  <c r="N99" i="1" s="1"/>
  <c r="O99" i="1" s="1"/>
  <c r="M100" i="1"/>
  <c r="N100" i="1" s="1"/>
  <c r="O100" i="1" s="1"/>
  <c r="M101" i="1"/>
  <c r="N101" i="1" s="1"/>
  <c r="O101" i="1" s="1"/>
  <c r="M102" i="1"/>
  <c r="N102" i="1" s="1"/>
  <c r="O102" i="1" s="1"/>
  <c r="M103" i="1"/>
  <c r="N103" i="1" s="1"/>
  <c r="O103" i="1" s="1"/>
  <c r="M104" i="1"/>
  <c r="N104" i="1" s="1"/>
  <c r="O104" i="1" s="1"/>
  <c r="M105" i="1"/>
  <c r="N105" i="1" s="1"/>
  <c r="O105" i="1" s="1"/>
  <c r="M106" i="1"/>
  <c r="N106" i="1" s="1"/>
  <c r="O106" i="1" s="1"/>
  <c r="M107" i="1"/>
  <c r="N107" i="1" s="1"/>
  <c r="O107" i="1" s="1"/>
  <c r="M108" i="1"/>
  <c r="N108" i="1" s="1"/>
  <c r="O108" i="1" s="1"/>
  <c r="M109" i="1"/>
  <c r="N109" i="1" s="1"/>
  <c r="O109" i="1" s="1"/>
  <c r="M110" i="1"/>
  <c r="N110" i="1" s="1"/>
  <c r="O110" i="1" s="1"/>
  <c r="M111" i="1"/>
  <c r="N111" i="1" s="1"/>
  <c r="O111" i="1" s="1"/>
  <c r="M112" i="1"/>
  <c r="N112" i="1" s="1"/>
  <c r="O112" i="1" s="1"/>
  <c r="M113" i="1"/>
  <c r="N113" i="1" s="1"/>
  <c r="O113" i="1" s="1"/>
  <c r="M114" i="1"/>
  <c r="N114" i="1" s="1"/>
  <c r="O114" i="1" s="1"/>
  <c r="M115" i="1"/>
  <c r="N115" i="1" s="1"/>
  <c r="O115" i="1" s="1"/>
  <c r="M116" i="1"/>
  <c r="N116" i="1" s="1"/>
  <c r="O116" i="1" s="1"/>
  <c r="M117" i="1"/>
  <c r="N117" i="1" s="1"/>
  <c r="O117" i="1" s="1"/>
  <c r="M118" i="1"/>
  <c r="N118" i="1" s="1"/>
  <c r="O118" i="1" s="1"/>
  <c r="M119" i="1"/>
  <c r="N119" i="1" s="1"/>
  <c r="O119" i="1" s="1"/>
  <c r="M120" i="1"/>
  <c r="N120" i="1" s="1"/>
  <c r="O120" i="1" s="1"/>
  <c r="M121" i="1"/>
  <c r="N121" i="1" s="1"/>
  <c r="O121" i="1" s="1"/>
  <c r="M122" i="1"/>
  <c r="N122" i="1" s="1"/>
  <c r="O122" i="1" s="1"/>
  <c r="M123" i="1"/>
  <c r="N123" i="1" s="1"/>
  <c r="O123" i="1" s="1"/>
  <c r="M3" i="1"/>
  <c r="N3" i="1" s="1"/>
  <c r="O3" i="1" s="1"/>
</calcChain>
</file>

<file path=xl/sharedStrings.xml><?xml version="1.0" encoding="utf-8"?>
<sst xmlns="http://schemas.openxmlformats.org/spreadsheetml/2006/main" count="3261" uniqueCount="783">
  <si>
    <t>Fila</t>
  </si>
  <si>
    <t>Serial</t>
  </si>
  <si>
    <t>qtde A4 Mono</t>
  </si>
  <si>
    <t>PM LIMEIRA - SEC. OBRAS</t>
  </si>
  <si>
    <t>BRBSQ6H025</t>
  </si>
  <si>
    <t>PM LIMEIRA - DGS</t>
  </si>
  <si>
    <t>BRBSQ6J17P</t>
  </si>
  <si>
    <t>PM LIMEIRA - ALMOXARIFADO CENTRAL</t>
  </si>
  <si>
    <t>BRBSQ9H03R</t>
  </si>
  <si>
    <t>BRBSQ9H03W</t>
  </si>
  <si>
    <t>PM LIMEIRA - DIVISÃO LEGISLATIVA</t>
  </si>
  <si>
    <t>BRBSQ9H00L</t>
  </si>
  <si>
    <t>PM LIMEIRA - EXPEDIENTE</t>
  </si>
  <si>
    <t>BRBSQ9H00J</t>
  </si>
  <si>
    <t>PM LIMEIRA - CONTABILIDADE</t>
  </si>
  <si>
    <t>BRBSQ2K08F</t>
  </si>
  <si>
    <t>PM LIMEIRA- RENDAS IMOBILIARIAS</t>
  </si>
  <si>
    <t>BRBSQ6P06V</t>
  </si>
  <si>
    <t>PM LIMEIRA - SEC. ESPORTES ADM</t>
  </si>
  <si>
    <t>BRBSQ6R03L</t>
  </si>
  <si>
    <t>PM LIMEIRA - CALL CENTER</t>
  </si>
  <si>
    <t>BRBSQ2J0S9</t>
  </si>
  <si>
    <t>PM LIMEIRA - DIVIDA ATIVA</t>
  </si>
  <si>
    <t>BRBSQ6Q080</t>
  </si>
  <si>
    <t>PM LIMEIRA - RECEITA PRÓPRIA</t>
  </si>
  <si>
    <t>BRBSQ6R03V</t>
  </si>
  <si>
    <t>PM LIMEIRA - OUVIDORIA</t>
  </si>
  <si>
    <t>BRBSQ6R0VH</t>
  </si>
  <si>
    <t>BRBSQ2J0S3</t>
  </si>
  <si>
    <t>PM LIMEIRA - RENDAS MOBILIARIAS</t>
  </si>
  <si>
    <t>BRBSQ6P06K</t>
  </si>
  <si>
    <t>PM LIMEIRA - EXPEDIÇÃO ADM</t>
  </si>
  <si>
    <t>BRBSQ2K071</t>
  </si>
  <si>
    <t>PM LIMEIRA - GABINETE DO PREFEITO</t>
  </si>
  <si>
    <t>BRBSQ6R041</t>
  </si>
  <si>
    <t>PM LIMEIRA - JURIDICO</t>
  </si>
  <si>
    <t>BRBSQ2J0RZ</t>
  </si>
  <si>
    <t>BRBSQ6R03D</t>
  </si>
  <si>
    <t>PM LIMEIRA - ORÇAMENTÁRIO</t>
  </si>
  <si>
    <t>BRBSQ6Q0BL</t>
  </si>
  <si>
    <t>PM LIMEIRA - TESOURARIA</t>
  </si>
  <si>
    <t>BRBSQ6S032</t>
  </si>
  <si>
    <t>PM LIMEIRA - PROTOCOLO</t>
  </si>
  <si>
    <t>BRBSQ2K070</t>
  </si>
  <si>
    <t>PM LIMEIRA - SEC. FAZENDA GABINETE</t>
  </si>
  <si>
    <t>BRBSQ2K0JF</t>
  </si>
  <si>
    <t>PM LIMEIRA - COMUNICAÇÃO</t>
  </si>
  <si>
    <t>BRBSQ6Q09Z</t>
  </si>
  <si>
    <t>PM LIMEIRA - AUDITORIA FISCAL</t>
  </si>
  <si>
    <t>BRBSQ2J0SX</t>
  </si>
  <si>
    <t>BRBSQ6K01Z</t>
  </si>
  <si>
    <t>PM LIMEIRA - INSPETORIA FISCAL</t>
  </si>
  <si>
    <t>BRBSQ6R049</t>
  </si>
  <si>
    <t>PM LIMEIRA - PLANEJAMENTO ORÇAMENTARIO</t>
  </si>
  <si>
    <t>BRBSQ6S021</t>
  </si>
  <si>
    <t>PM LIMEIRA - ARQUIVO MUNICIPAL</t>
  </si>
  <si>
    <t>BRBSQ6R04B</t>
  </si>
  <si>
    <t>PM LIMEIRA - SEC. HABITAÇÃO</t>
  </si>
  <si>
    <t>BRBSQ2K07T</t>
  </si>
  <si>
    <t>PM LIMEIRA - PLANEJAMENTO ESTRATEGICO</t>
  </si>
  <si>
    <t>BRBSQ6P083</t>
  </si>
  <si>
    <t>PM LIMEIRA - TI</t>
  </si>
  <si>
    <t>BRBSQ2J0S5</t>
  </si>
  <si>
    <t>PM LIMEIRA - SEC. FAZENDA FISCALIZACAO TRIBUTARIA</t>
  </si>
  <si>
    <t>BRBSQ6P086</t>
  </si>
  <si>
    <t>PM LIMEIRA - CONVENIOS</t>
  </si>
  <si>
    <t>BRBSQ2K072</t>
  </si>
  <si>
    <t>PM LIMEIRA - MOBILIDADE URBANA</t>
  </si>
  <si>
    <t>BRBSQ6G1H1</t>
  </si>
  <si>
    <t>PM LIMEIRA - SEC. URBANISMO</t>
  </si>
  <si>
    <t>BRBSQ6H01R</t>
  </si>
  <si>
    <t>BRBSQ6H02L</t>
  </si>
  <si>
    <t>BRBSQ6J147</t>
  </si>
  <si>
    <t xml:space="preserve">PM LIMEIRA-ADM-BASE AGENTE DE TRANSITO </t>
  </si>
  <si>
    <t>BRBSQ6K004</t>
  </si>
  <si>
    <t>PM LIMEIRA - SEC. DESENVOLVIMENTO - BANC</t>
  </si>
  <si>
    <t>BRBSQ6K005</t>
  </si>
  <si>
    <t>PM LIMEIRA - RH</t>
  </si>
  <si>
    <t>BRBSQ9Q0RJ</t>
  </si>
  <si>
    <t>PM LIMEIRA - SEC. DESENVOLVIMENTO</t>
  </si>
  <si>
    <t>BRBSQ6K00V</t>
  </si>
  <si>
    <t>BRBSQ6K016</t>
  </si>
  <si>
    <t>BRBSQ6K01R</t>
  </si>
  <si>
    <t>PM LIMEIRA -ARQUIVO MUNICIPAL</t>
  </si>
  <si>
    <t>BRBSQ6K01M</t>
  </si>
  <si>
    <t>PM DE LIMEIRA-ADM-TIRO DE GUERRA</t>
  </si>
  <si>
    <t>BRBSQ9R01D</t>
  </si>
  <si>
    <t>PM LIMEIRA -  SEC. SAUDE - ALMOXARIFADO</t>
  </si>
  <si>
    <t>BRBSQ6K00W</t>
  </si>
  <si>
    <t>PM DE LIMEIRA-ADM-VELORIO SAUDADE</t>
  </si>
  <si>
    <t>BRBSQ9Q0MX</t>
  </si>
  <si>
    <t>PM DE LIMEIRA-ADM-CEMITERIO SAUDADE</t>
  </si>
  <si>
    <t>BRBSQ9Q0QS</t>
  </si>
  <si>
    <t>PM LIMEIRA-ADM-CORPO DE BOMBEIROS - ADM</t>
  </si>
  <si>
    <t>BRBSQ9Q0QC</t>
  </si>
  <si>
    <t>BRBSQ9R00Z</t>
  </si>
  <si>
    <t>PM LIMEIRA - MEDICINA DO TRABALHO</t>
  </si>
  <si>
    <t>BRBSQ9Q0QH</t>
  </si>
  <si>
    <t>SEC. DESENVOLVIMENTO - SALA DO EMPREENDEDOR</t>
  </si>
  <si>
    <t>BRBSQ9Q0QN</t>
  </si>
  <si>
    <t>PM LIMEIRA-ADM-PAT</t>
  </si>
  <si>
    <t>BRBSQBL0BV</t>
  </si>
  <si>
    <t>PM LIMEIRA-ADM-UNIVESP</t>
  </si>
  <si>
    <t>BRBSQBL0D2</t>
  </si>
  <si>
    <t>PM LIMEIRA-ADM-EMCEA</t>
  </si>
  <si>
    <t>BRBSQBL02K</t>
  </si>
  <si>
    <t>PM LIMEIRA-ADM-PALACETY LEVI</t>
  </si>
  <si>
    <t>BRBSQBL0CP</t>
  </si>
  <si>
    <t>BRBSQBL031</t>
  </si>
  <si>
    <t>PM LIMEIRA-ADM-MEIO AMBIENTE</t>
  </si>
  <si>
    <t>BRBSQBL030</t>
  </si>
  <si>
    <t>PM LIMEIRA-ADM-EXTENSAO RURAL</t>
  </si>
  <si>
    <t>BRBSQBL09W</t>
  </si>
  <si>
    <t>PM LIMEIRA-ADM-BIBLIOTECA MUNICIPAL</t>
  </si>
  <si>
    <t>BRBSQBL0B5</t>
  </si>
  <si>
    <t>PM LIMEIRA-ADM-CORREGEDORIA DA GUARDA</t>
  </si>
  <si>
    <t>BRBSQBL0CF</t>
  </si>
  <si>
    <t>PM LIMEIRA-ADM-PROCON</t>
  </si>
  <si>
    <t>BRBSQ9Q110</t>
  </si>
  <si>
    <t>PM LIMEIRA-ADM-JUNTA MILITAR</t>
  </si>
  <si>
    <t>BRBSQ9W078</t>
  </si>
  <si>
    <t>PM LIMEIRA-ADM-CEJUSC</t>
  </si>
  <si>
    <t>BRBSQ9Q0SH</t>
  </si>
  <si>
    <t>PM LIMEIRA-ADM-PEDAGIO MUNICIPAL</t>
  </si>
  <si>
    <t>BRBSQ9Q0Q3</t>
  </si>
  <si>
    <t>PM LIMEIRA-ADM-CEMITERIO PARQUE</t>
  </si>
  <si>
    <t>BRBSQ9W0MM</t>
  </si>
  <si>
    <t>PM LIMEIRA-ADM-CASA DA CULTURA</t>
  </si>
  <si>
    <t>BRBSQ9W0MT</t>
  </si>
  <si>
    <t>PM LIMEIRA-ADM-DEFESA CIVIL</t>
  </si>
  <si>
    <t>BRBSQ9X006</t>
  </si>
  <si>
    <t>PM LIMEIRA-ADM-DELFAVE</t>
  </si>
  <si>
    <t>BRBSQ9Q0T9</t>
  </si>
  <si>
    <t>PM LIMEIRA-ADM-BEM ESTAR ANIMAL</t>
  </si>
  <si>
    <t>BRBSQBV0L8</t>
  </si>
  <si>
    <t>ADM-C.O.P.I</t>
  </si>
  <si>
    <t>BRBSQCJ0QR</t>
  </si>
  <si>
    <t>BRBSQBV0LP</t>
  </si>
  <si>
    <t>BRBSQCJ0NP</t>
  </si>
  <si>
    <t>ADM Comissão Sindicância</t>
  </si>
  <si>
    <t>BRBSQBL07B</t>
  </si>
  <si>
    <t>PM LIMEIRA-ADM-DIVIDA ATIVA</t>
  </si>
  <si>
    <t>BRBSQBL0DH</t>
  </si>
  <si>
    <t>PM LIMEIRA ADM TEATRO</t>
  </si>
  <si>
    <t>BRBSQCJ10H</t>
  </si>
  <si>
    <t>PM LIMEIRA - ESTOQUE</t>
  </si>
  <si>
    <t>BRBSQCJ0QP</t>
  </si>
  <si>
    <t>CNC1Q2P02W</t>
  </si>
  <si>
    <t>CNC1Q2R03C</t>
  </si>
  <si>
    <t>PM LIMEIRA - EXPEDIENTE GABINETE</t>
  </si>
  <si>
    <t>CNC1Q2P041</t>
  </si>
  <si>
    <t>CNC1Q2R02W</t>
  </si>
  <si>
    <t>PM LIMEIRA - SEC. OBRAS GAB. SECRETARIO</t>
  </si>
  <si>
    <t>CNC1Q2R02S</t>
  </si>
  <si>
    <t>BRBSQ8927W</t>
  </si>
  <si>
    <t>BRBSP990X8</t>
  </si>
  <si>
    <t>BRBSP990VV</t>
  </si>
  <si>
    <t>PM LIMEIRA - PATRIMONIO</t>
  </si>
  <si>
    <t>BRBSP9913T</t>
  </si>
  <si>
    <t>BRBSP7T0K6</t>
  </si>
  <si>
    <t>BRBSP990VT</t>
  </si>
  <si>
    <t>BRBSP9914P</t>
  </si>
  <si>
    <t>BRBSP99132</t>
  </si>
  <si>
    <t>PM LIMEIRA - CONSELHO CONTRIBUINTE</t>
  </si>
  <si>
    <t>BRBSP980X0</t>
  </si>
  <si>
    <t>BRBSP98130</t>
  </si>
  <si>
    <t>BRBSP98149</t>
  </si>
  <si>
    <t>PM LIMEIRA - RENDAS IMOBILIARIAS</t>
  </si>
  <si>
    <t>BRBSP9914Z</t>
  </si>
  <si>
    <t>BRBSP990XR</t>
  </si>
  <si>
    <t>PM LIMEIRA - FROTA INTERNA</t>
  </si>
  <si>
    <t>BRBSP99157</t>
  </si>
  <si>
    <t>BRBSP9917S</t>
  </si>
  <si>
    <t>BRBSP7T0J3</t>
  </si>
  <si>
    <t>BRBSP7T03K</t>
  </si>
  <si>
    <t>PM LIMEIRA - OFICINA</t>
  </si>
  <si>
    <t>BRBSP99150</t>
  </si>
  <si>
    <t>PM LIMEIRA - EXPEDIENTE TRIBUTÁRIO</t>
  </si>
  <si>
    <t>BRBSP991C3</t>
  </si>
  <si>
    <t>BRBSP990Z7</t>
  </si>
  <si>
    <t>BRBSP7V00D</t>
  </si>
  <si>
    <t>BRBSP7R089</t>
  </si>
  <si>
    <t>BRBSP9812T</t>
  </si>
  <si>
    <t>PM LIMEIRA - MOBILIDADE DE TRANSITO</t>
  </si>
  <si>
    <t>BRBSP990X3</t>
  </si>
  <si>
    <t>BRBSP991CS</t>
  </si>
  <si>
    <t>PM LIMEIRA - JURIDICO RECEPÇÃO</t>
  </si>
  <si>
    <t>BRBSP7T0J1</t>
  </si>
  <si>
    <t>PM LIMEIRA - URBANISMO</t>
  </si>
  <si>
    <t>BRBSP7V00B</t>
  </si>
  <si>
    <t>PM LIMEIRA - GESTÃO ESTRATEGICA</t>
  </si>
  <si>
    <t>BRBSP990X7</t>
  </si>
  <si>
    <t>BRBSP990V2</t>
  </si>
  <si>
    <t>PM LIMEIRA - FISCALIZAÇÃO POSTURAS</t>
  </si>
  <si>
    <t>BRBSP990WR</t>
  </si>
  <si>
    <t>BRBSP990WJ</t>
  </si>
  <si>
    <t>BRBSP9B09V</t>
  </si>
  <si>
    <t>BRBSP990VP</t>
  </si>
  <si>
    <t>PM LIMEIRA- BARRACÃO DA MERENDA</t>
  </si>
  <si>
    <t>BRBSP990YB</t>
  </si>
  <si>
    <t>PM LIMEIRA-ADM-CRAS CENTRO ESPORTE E ARTES</t>
  </si>
  <si>
    <t>BRBSP9914N</t>
  </si>
  <si>
    <t>BRBSP990XZ</t>
  </si>
  <si>
    <t>PM LIMEIRA-ADM-BASE AGENTE DE TRANSITO</t>
  </si>
  <si>
    <t>BRBSP7T0FF</t>
  </si>
  <si>
    <t>PM LIMEIRA-ADM-CORPO DE BOMBEIROS - INTELIGENCIA</t>
  </si>
  <si>
    <t>BRBSP990VH</t>
  </si>
  <si>
    <t>BRBSP990W2</t>
  </si>
  <si>
    <t>PM LIMEIRA-ADM-GUARDA MUNICIPAL</t>
  </si>
  <si>
    <t>BRBSP7T0B3</t>
  </si>
  <si>
    <t>VARA DA FAZENDA</t>
  </si>
  <si>
    <t>BRBSP9914M</t>
  </si>
  <si>
    <t>PM LIMEIRA-ADM-CENTRO DE CIENCIAS</t>
  </si>
  <si>
    <t>BRBSP7V02P</t>
  </si>
  <si>
    <t xml:space="preserve">PM LIMEIRA-ADM-Praça de Esportes do Jd. </t>
  </si>
  <si>
    <t>BRBSP7T0HQ</t>
  </si>
  <si>
    <t>PM LIMEIRA- ADM POLICLINICA CONS. 01</t>
  </si>
  <si>
    <t>BRBSQCX19X</t>
  </si>
  <si>
    <t>BRBSQC70H8</t>
  </si>
  <si>
    <t>BRBSQ6P065</t>
  </si>
  <si>
    <t>BRBSQ6H01S</t>
  </si>
  <si>
    <t>BRBSQCQ18D</t>
  </si>
  <si>
    <t>BRBSQCX0XT</t>
  </si>
  <si>
    <t>ADM</t>
  </si>
  <si>
    <t>SAUDE-CAPS-AD</t>
  </si>
  <si>
    <t>BRBSQ6H03V</t>
  </si>
  <si>
    <t>PM LIMEIRA - VIGILANCIA SANITARIA</t>
  </si>
  <si>
    <t>BRBSQ6R04C</t>
  </si>
  <si>
    <t>PM LIMEIRA - CAPS INFANTIL</t>
  </si>
  <si>
    <t>BRBSQ6G1HF</t>
  </si>
  <si>
    <t>CENTRAL DE MEDICAMENTOS</t>
  </si>
  <si>
    <t>BRBSQ6H02H</t>
  </si>
  <si>
    <t>PM LIMEIRA - P.A PQ HIPOLITO</t>
  </si>
  <si>
    <t>BRBSQ6J13Z</t>
  </si>
  <si>
    <t xml:space="preserve">PM LIMEIRA -SAUDE COMPRAS </t>
  </si>
  <si>
    <t>BRBSQ6J14H</t>
  </si>
  <si>
    <t>PM LIMEIRA - SAUDE CONSELHO MUNICIPAL</t>
  </si>
  <si>
    <t>BRBSQ6K00R</t>
  </si>
  <si>
    <t>PM LIMEIRA -SAUDE GESTAO</t>
  </si>
  <si>
    <t>BRBSQ6K01D</t>
  </si>
  <si>
    <t>PM LIMEIRA-SAUDE-CENTRO DE TERAPIAS INTE</t>
  </si>
  <si>
    <t>BRBSQ9R010</t>
  </si>
  <si>
    <t>PM LIMEIRA - SEC. SAUDE - RH</t>
  </si>
  <si>
    <t>BRBSQ9Q0K9</t>
  </si>
  <si>
    <t>BRBSQ9R017</t>
  </si>
  <si>
    <t>PM LIMEIRA-SAUDE-FARMACIA DE ALTO CUSTO</t>
  </si>
  <si>
    <t>BRBSQ9Q0SW</t>
  </si>
  <si>
    <t>PM DE LIMEIRA-SAUDE-SEMIL</t>
  </si>
  <si>
    <t>BRBSQ9R015</t>
  </si>
  <si>
    <t>PM LIMEIRA-SAUDE-LABORATORIO MUNICIPAL</t>
  </si>
  <si>
    <t>BRBSQ9R016</t>
  </si>
  <si>
    <t>PM LIMEIRA - POLICLINICA - SALA DE TELEF</t>
  </si>
  <si>
    <t>BRBSQ9R02K</t>
  </si>
  <si>
    <t>PM LIMEIRA-SAUDE-CENTRO DE SAUDE BUCAL</t>
  </si>
  <si>
    <t>BRBSQ9Q0PS</t>
  </si>
  <si>
    <t>PM LIMEIRA-SAUDE-SAUDE DA MULHER</t>
  </si>
  <si>
    <t>BRBSQBL02W</t>
  </si>
  <si>
    <t>PM LIMEIRA-SAUDE-UBS CIDADE JARDIM</t>
  </si>
  <si>
    <t>BRBSQBL0BJ</t>
  </si>
  <si>
    <t>PM LIMEIRA-SAUDE-CAPS II</t>
  </si>
  <si>
    <t>BRBSQBL05M</t>
  </si>
  <si>
    <t>PM LIMEIRA-SAUDE-UBS NOVA EUROPA</t>
  </si>
  <si>
    <t>BRBSQBL0C8</t>
  </si>
  <si>
    <t>PM LIMEIRA-SAUDE-UBS RUBI</t>
  </si>
  <si>
    <t>BRBSQ9R00S</t>
  </si>
  <si>
    <t>PM DE LIMEIRA-SAUDE-PRONTO ATEND. AEROPO</t>
  </si>
  <si>
    <t>BRBSQ9Q0VC</t>
  </si>
  <si>
    <t>PM LIMEIRA-SAUDE-CSF GRAMINHA</t>
  </si>
  <si>
    <t>BRBSQ9Q0T5</t>
  </si>
  <si>
    <t>PM LIMEIRA-SAUDE-CSF CECAP</t>
  </si>
  <si>
    <t>BRBSQ9W0Q3</t>
  </si>
  <si>
    <t>PM LIMEIRA-SAUDE-CEMA</t>
  </si>
  <si>
    <t>BRBSQ9Q0NX</t>
  </si>
  <si>
    <t>PM LIMEIRA-SAUDE-UBS MORRO AZUL</t>
  </si>
  <si>
    <t>BRBSQ9W07J</t>
  </si>
  <si>
    <t>PM LIMEIRA-SAUDE-UBS JD. NOSSA SENHORA D</t>
  </si>
  <si>
    <t>BRBSQ9R03K</t>
  </si>
  <si>
    <t>PM LIMEIRA-SAUDE-UBS PARQUE ABILIO PEDRO</t>
  </si>
  <si>
    <t>BRBSQ9R00R</t>
  </si>
  <si>
    <t>PM LIMEIRA-SAUDE-UPA ABILIO PEDRO</t>
  </si>
  <si>
    <t>BRBSQ9W080</t>
  </si>
  <si>
    <t>PM LIMEIRA-SAUDE-SAMU</t>
  </si>
  <si>
    <t>BRBSQBL06G</t>
  </si>
  <si>
    <t>PM LIMEIRA-SAUDE-CENTRAL DE AMBULANCIA</t>
  </si>
  <si>
    <t>BRBSQBL070</t>
  </si>
  <si>
    <t xml:space="preserve">UBS – Aeroporto </t>
  </si>
  <si>
    <t>BRBSQCJ0NB</t>
  </si>
  <si>
    <t>PM LIMEIRA-SAUDE-UBS NOVA SUICA</t>
  </si>
  <si>
    <t>BRBSQ9Q0TX</t>
  </si>
  <si>
    <t>PM LIMEIRA-SAUDE-UBS BOA VISTA</t>
  </si>
  <si>
    <t>BRBSQ9W08W</t>
  </si>
  <si>
    <t>SAUDE-UBS PARQUE HIPOLITO I</t>
  </si>
  <si>
    <t>BRBSQCJ0S9</t>
  </si>
  <si>
    <t>SAUDE-UBS PLANALTO</t>
  </si>
  <si>
    <t>BRBSQCJ0QC</t>
  </si>
  <si>
    <t>PM LIMEIRA-SAUDE-ZOONOSES (ADM, DENGUE)</t>
  </si>
  <si>
    <t>BRBSQCJ10T</t>
  </si>
  <si>
    <t>UBS NOVA LIMEIRA</t>
  </si>
  <si>
    <t>BRBSQCJ11R</t>
  </si>
  <si>
    <t>UBS TATU</t>
  </si>
  <si>
    <t>BRBSQCK094</t>
  </si>
  <si>
    <t>SAUDE-ATERRO SANITARIO</t>
  </si>
  <si>
    <t>BRBSQCJ0SC</t>
  </si>
  <si>
    <t>SAUDE-ZOOLOGICO</t>
  </si>
  <si>
    <t>BRBSQCK08T</t>
  </si>
  <si>
    <t>Saúde-HORTO FLORESTAL</t>
  </si>
  <si>
    <t>BRBSQCJ121</t>
  </si>
  <si>
    <t>UBS – Vista Alegre</t>
  </si>
  <si>
    <t>BRBSQCJ119</t>
  </si>
  <si>
    <t>ZOONOSES</t>
  </si>
  <si>
    <t>BRBSQ6H027</t>
  </si>
  <si>
    <t>PM DE LIMEIRA-USF BELINHA OMETTO 2</t>
  </si>
  <si>
    <t>BRBSQBV0H1</t>
  </si>
  <si>
    <t>PM LIMEIRA - UBS CAMPO BELO</t>
  </si>
  <si>
    <t>BRBSQCK09C</t>
  </si>
  <si>
    <t>PM LIMEIRA_CONS. MEDICO 01</t>
  </si>
  <si>
    <t>BRBSQBT0CZ</t>
  </si>
  <si>
    <t>PM LIMEIRA_ERNESTO KUHL 1</t>
  </si>
  <si>
    <t>BRBSQBV0GZ</t>
  </si>
  <si>
    <t>PM DE LIMEIRA_POLICLINICA CONS. 07</t>
  </si>
  <si>
    <t>BRBSQBW06Y</t>
  </si>
  <si>
    <t>PM LIMEIRA_POLICLINICA CONS. 20</t>
  </si>
  <si>
    <t>BRBSQCJ0VL</t>
  </si>
  <si>
    <t xml:space="preserve">PM LIMEIRA-SAUDE-UPA ABILIO PEDRO CONS. </t>
  </si>
  <si>
    <t>BRBSQCJ0ZM</t>
  </si>
  <si>
    <t>BRBSP9914L</t>
  </si>
  <si>
    <t>SAUDE-CSF ANAVEC</t>
  </si>
  <si>
    <t>BRBSP9918W</t>
  </si>
  <si>
    <t>BRBSP7V00T</t>
  </si>
  <si>
    <t>PM LIMEIRA-SAUDE-PAD - Plano de Assisten</t>
  </si>
  <si>
    <t>BRBSP990W6</t>
  </si>
  <si>
    <t>BRBSP7R08G</t>
  </si>
  <si>
    <t>SAUDE-CSF JARDIM PLANALTO</t>
  </si>
  <si>
    <t>BRBSP7V009</t>
  </si>
  <si>
    <t>PM LIMEIRA-SAUDE-UBS N.S. do Amparo</t>
  </si>
  <si>
    <t>BRBSP990XL</t>
  </si>
  <si>
    <t>BRBSP98142</t>
  </si>
  <si>
    <t xml:space="preserve">PM LIMEIRA-SAUDE-P.A PQ HIPOLITO    </t>
  </si>
  <si>
    <t>BRBSP7T0HN</t>
  </si>
  <si>
    <t>PM LIMEIRA-PA HIPOLITO</t>
  </si>
  <si>
    <t>BRBSP99195</t>
  </si>
  <si>
    <t>BRBSP990YQ</t>
  </si>
  <si>
    <t>PM LIMEIRA - POLICLINICA RAIO X</t>
  </si>
  <si>
    <t>BRBSP98138</t>
  </si>
  <si>
    <t>PM LIMEIRA - POLICLINICA AGENDAMENTO</t>
  </si>
  <si>
    <t>BRBSP9914W</t>
  </si>
  <si>
    <t>PM DE LIMEIRA-SAUDE-CSF JARDIM SANTO AND</t>
  </si>
  <si>
    <t>BRBSP990VZ</t>
  </si>
  <si>
    <t>PM LIMEIRA-SAUDE-PA AEROPORTO</t>
  </si>
  <si>
    <t>PM LIMEIRA - POLICLINICA AMBULATORIO DE FERIDAS</t>
  </si>
  <si>
    <t>BRBSP9916Z</t>
  </si>
  <si>
    <t>PM LIMEIRA - POLICLINICA FISIOTERAPIA</t>
  </si>
  <si>
    <t>BRBSP7T03M</t>
  </si>
  <si>
    <t>BRBSP991GB</t>
  </si>
  <si>
    <t>PM LIMEIRA - SAUDE POLICLINICA CONSULTOR</t>
  </si>
  <si>
    <t>BRBSP991HS</t>
  </si>
  <si>
    <t>PM LIMEIRA - UPA ABILIO PEDRO</t>
  </si>
  <si>
    <t>BRBSP9811V</t>
  </si>
  <si>
    <t>BRBSP990XK</t>
  </si>
  <si>
    <t>PM LIMEIRA-SAUDE-LABORATORIO CITOLOGIA</t>
  </si>
  <si>
    <t>BRBSP990YW</t>
  </si>
  <si>
    <t>PM LIMEIRA-SAUDE-CEF AEROPORTO COORDENACAO</t>
  </si>
  <si>
    <t>BRBSP990QC</t>
  </si>
  <si>
    <t>PM LIMEIRA - POLICLINICA ULTRASOM</t>
  </si>
  <si>
    <t>BRBSP991C7</t>
  </si>
  <si>
    <t>BRBSP990W3</t>
  </si>
  <si>
    <t>SAUDE-CSF LOPES</t>
  </si>
  <si>
    <t>BRBSP990X1</t>
  </si>
  <si>
    <t>SAUDE-CSF BOA ESPERANCA</t>
  </si>
  <si>
    <t>BRBSP990WS</t>
  </si>
  <si>
    <t>PM LIMEIRA-SAUDE-CENTRO DE SAUDE BUCAL A</t>
  </si>
  <si>
    <t>BRBSP990W8</t>
  </si>
  <si>
    <t>BRBSP990YH</t>
  </si>
  <si>
    <t>BRBSP991BZ</t>
  </si>
  <si>
    <t>BRBSP991H4</t>
  </si>
  <si>
    <t>SAUDE-UBS PARQUE HIPOLITO II</t>
  </si>
  <si>
    <t>BRBSP990WB</t>
  </si>
  <si>
    <t>BRBSP7V00F</t>
  </si>
  <si>
    <t>PM LIMEIRA-SAUDE- PROGRAMA SAUDE TRABALH</t>
  </si>
  <si>
    <t>BRBSP990XN</t>
  </si>
  <si>
    <t>SAUDE-CENTRAL DE MEDICAMENTOS</t>
  </si>
  <si>
    <t>BRBSP990XP</t>
  </si>
  <si>
    <t>PM LIMEIRA - SAUDE - UBS PINHAL</t>
  </si>
  <si>
    <t>BRBSP991D2</t>
  </si>
  <si>
    <t>PM LIMEIRA-SAUDE-CSF BELINHA OMETTO</t>
  </si>
  <si>
    <t>BRBSQCP0Q3</t>
  </si>
  <si>
    <t>PM LIMEIRA_BELINHA OMETO 3</t>
  </si>
  <si>
    <t>BRBSQCX0X6</t>
  </si>
  <si>
    <t>BRBSQCY073</t>
  </si>
  <si>
    <t>PM LIMEIRA_CASM CONS. GINECOLOGICO</t>
  </si>
  <si>
    <t>BRBSQCY078</t>
  </si>
  <si>
    <t>PM LIMEIRA_CONS. DIREITA</t>
  </si>
  <si>
    <t>BRBSQCP0QD</t>
  </si>
  <si>
    <t>PM LIMEIRA_CONS. ESQUERDA</t>
  </si>
  <si>
    <t>BRBSQCX1BZ</t>
  </si>
  <si>
    <t>PM LIMEIRA_POLICLINICA CONS. 02</t>
  </si>
  <si>
    <t>BRBSQCY049</t>
  </si>
  <si>
    <t>PM LIMEIRA_POLICLINICA CONS. 05</t>
  </si>
  <si>
    <t>BRBSQCY05J</t>
  </si>
  <si>
    <t>PM LIMEIRA_POLICLINICA CONS. 06</t>
  </si>
  <si>
    <t>BRBSQCX0LP</t>
  </si>
  <si>
    <t>PM LIMEIRA_POLICLINICA CONS. 10</t>
  </si>
  <si>
    <t>BRBSQCY04K</t>
  </si>
  <si>
    <t>PM LIMEIRA_POLICLINICA CONS. 12</t>
  </si>
  <si>
    <t>BRBSQCQ0YK</t>
  </si>
  <si>
    <t>PM LIMEIRA_POLICLINICA CONS. 13</t>
  </si>
  <si>
    <t>BRBSQCQ17X</t>
  </si>
  <si>
    <t>PM LIMEIRA_POLICLINICA CONS. 15</t>
  </si>
  <si>
    <t>BRBSQCY06T</t>
  </si>
  <si>
    <t>PM LIMEIRA_POLICLINICA CONS. 18</t>
  </si>
  <si>
    <t>BRBSQCY06Y</t>
  </si>
  <si>
    <t>PM LIMEIRA_POLICLINICA CONS. 21</t>
  </si>
  <si>
    <t>BRBSQCY048</t>
  </si>
  <si>
    <t>PM LIMEIRA_POLICLINICA -SALA 22</t>
  </si>
  <si>
    <t>BRBSQCY03W</t>
  </si>
  <si>
    <t>BRBSQCX0PT</t>
  </si>
  <si>
    <t>PM LIMEIRA-SAUDE-P.A PQ HIPOLITO</t>
  </si>
  <si>
    <t>BRBSQCX0C2</t>
  </si>
  <si>
    <t xml:space="preserve">PM LIMEIRA_PA AEROPORTO </t>
  </si>
  <si>
    <t>BRBSQCQ1MB</t>
  </si>
  <si>
    <t>PM LIMEIRA-SAUDE-UBS AEROPORTO</t>
  </si>
  <si>
    <t>BRBSP990XF</t>
  </si>
  <si>
    <t>BRBSQCY082</t>
  </si>
  <si>
    <t xml:space="preserve">PM LIMEIRA - ESTOQUE </t>
  </si>
  <si>
    <t>SAUDE</t>
  </si>
  <si>
    <t>PM LIMEIRA - SEC. EDUCAÇÃO - SEDE DOS CO</t>
  </si>
  <si>
    <t>BRBSQ9Q0N6</t>
  </si>
  <si>
    <t>PM LIMEIRA- SEC. EDUCAÇÃO SERVICO SOCIAL</t>
  </si>
  <si>
    <t>BRBSQ9R03P</t>
  </si>
  <si>
    <t>PM LIMEIRA - SEC. EDUCAÇÃO - PEDAGÓGICO</t>
  </si>
  <si>
    <t>BRBSQ9R00Y</t>
  </si>
  <si>
    <t>PM LIMEIRA-EDUC. FUND.-PROFA. FLORA CAST</t>
  </si>
  <si>
    <t>BRBSQ9R00V</t>
  </si>
  <si>
    <t>PM LIMEIRA - SEC. EDUCAÇÃO - GABINETE</t>
  </si>
  <si>
    <t>BRBSQ9Q0VM</t>
  </si>
  <si>
    <t>PM LIMEIRA - SEC. EDUCAÇÃO DIVISAO ALIME</t>
  </si>
  <si>
    <t>BRBSQ9R01H</t>
  </si>
  <si>
    <t>PM LIMEIRA - SEC. EDUCAÇÃO DIVISAO TRANS</t>
  </si>
  <si>
    <t>BRBSQ9R03G</t>
  </si>
  <si>
    <t>PM LIMEIRA - SEC. EDUCACAO - SALA 63</t>
  </si>
  <si>
    <t>BRBSQ9R01F</t>
  </si>
  <si>
    <t>PM LIMEIRA SEC. EDUCACAO - SUPERVISAO</t>
  </si>
  <si>
    <t>BRBSQ9R031</t>
  </si>
  <si>
    <t>PM LIMEIRA - SEC. EDUCACAO - ATENDIMENTO</t>
  </si>
  <si>
    <t>BRBSQ9R00X</t>
  </si>
  <si>
    <t>PM LIMEIRA - SEC. EDUCACAO - RECANTO DAS</t>
  </si>
  <si>
    <t>BRBSQ9Q0XF</t>
  </si>
  <si>
    <t>PM LIMEIRA - SEC. EDUCAÇÃO - RH</t>
  </si>
  <si>
    <t>BRBSQ9R02D</t>
  </si>
  <si>
    <t>PM LIMEIRA - SEC. EDUCAÇÃO DIVISAO FINAN</t>
  </si>
  <si>
    <t>BRBSQ9R03L</t>
  </si>
  <si>
    <t>PM LIMEIRA - SEC. EDUCAÇÃO DIVISAO DE PL</t>
  </si>
  <si>
    <t>BRBSQ9R02R</t>
  </si>
  <si>
    <t>PM LIMEIRA-EDUC FUND-EMEIEF LIMEIRA</t>
  </si>
  <si>
    <t>BRBSQBL0BF</t>
  </si>
  <si>
    <t>BRBSQBL02X</t>
  </si>
  <si>
    <t>PM LIMEIRA-EDUC FUND-EMEIEF MAJOR JOSE LEVY SOBRIN</t>
  </si>
  <si>
    <t>BRBSQBL0CB</t>
  </si>
  <si>
    <t>PM LIMEIRA-EDUC FUND-EMEIEF EGLE MARIA CIARROCHI</t>
  </si>
  <si>
    <t>BRBSQBL0C6</t>
  </si>
  <si>
    <t>PM LIMEIRA-EDUC FUND-CEIEF ARLINDO DE SA</t>
  </si>
  <si>
    <t>BRBSQ9W0KW</t>
  </si>
  <si>
    <t>PM LIMEIRA-EDUC FUND-EMEIEF MARIA AP. DEGASPARE</t>
  </si>
  <si>
    <t>BRBSQ9Q0V3</t>
  </si>
  <si>
    <t>PM LIMEIRA-EDUC FUND-EMEIEF PADRE MAURIC</t>
  </si>
  <si>
    <t>BRBSQ9W08X</t>
  </si>
  <si>
    <t>PM LIMEIRA-EDUC FUND-EMEIEF LUCA MOORE</t>
  </si>
  <si>
    <t>BRBSQBL06W</t>
  </si>
  <si>
    <t>PM LIMEIRA-EDUC FUND-EMEIEF JOSE JUSTINO</t>
  </si>
  <si>
    <t>BRBSQCK08F</t>
  </si>
  <si>
    <t>PM LIMEIRA-EDUC. FUND.-EMEIEF WALDEMAR L</t>
  </si>
  <si>
    <t>BRBSQ9Q0V0</t>
  </si>
  <si>
    <t>PM LIMEIRA-EDUC FUND-EMEIEF EVANGELINA</t>
  </si>
  <si>
    <t>BRBSQ9R006</t>
  </si>
  <si>
    <t xml:space="preserve">PM LIMEIRA-EDUC FUND-EMEIF JOSE ROBERTO </t>
  </si>
  <si>
    <t>BRBSQBL078</t>
  </si>
  <si>
    <t>PM LIMEIRA-EDUC FUND-EMEIEF JOSE CARVALH</t>
  </si>
  <si>
    <t>BRBSQCN0FV</t>
  </si>
  <si>
    <t>PM LIMEIRA-EDUC FUND-EMEIEF CASSIANA MAR</t>
  </si>
  <si>
    <t>BRBSQ9R03H</t>
  </si>
  <si>
    <t>PM LIMEIRA-EDUC FUND-EMEIEF MARIA MADALE</t>
  </si>
  <si>
    <t>BRBSQ9W0Q4</t>
  </si>
  <si>
    <t>PM LIMEIRA-EDUC FUND-EMEIEF PASTOR ISMAE</t>
  </si>
  <si>
    <t>BRBSQ9Q114</t>
  </si>
  <si>
    <t>EDUC FUND-EMEIEF NOEDIR TADEU</t>
  </si>
  <si>
    <t>BRBSQ9W08Y</t>
  </si>
  <si>
    <t>PM LIMEIRA-EDUC FUND-EMEIEF MARIA JULIAN</t>
  </si>
  <si>
    <t>BRBSQCJ12J</t>
  </si>
  <si>
    <t>EDUC FUND-EMEIEF MARCIA AP. DELLA C. SI</t>
  </si>
  <si>
    <t>BRBSQBL0FG</t>
  </si>
  <si>
    <t>PM LIMEIRA-EDUC FUND-EMEIEF VER. MAURO S</t>
  </si>
  <si>
    <t>BRBSQ9Q0QY</t>
  </si>
  <si>
    <t>PM LIMEIRA-EDUC FUND-EMEIEF NESTOR MARTI</t>
  </si>
  <si>
    <t>BRBSQ9W07B</t>
  </si>
  <si>
    <t>PM LIMEIRA-EDUC. FUND-EMEIEF LAERCIO COR</t>
  </si>
  <si>
    <t>BRBSQC901C</t>
  </si>
  <si>
    <t>PM LIMEIRA-EDUC. FUND-EMEIEF MAURO SOUZA QUEIROZ F</t>
  </si>
  <si>
    <t>BRBSQ9W06F</t>
  </si>
  <si>
    <t>PM LIMEIRA-EDUC. FUND-EMEIEF MERCEDES</t>
  </si>
  <si>
    <t>BRBSQCJ0SZ</t>
  </si>
  <si>
    <t>PM LIMEIRA-EDUC. FUND - EMEIEF JOSE PAUL</t>
  </si>
  <si>
    <t>BRBSQBT0D3</t>
  </si>
  <si>
    <t>PM LIMEIRA-EDUC. FUND-EMEIEF BENEDICTA D</t>
  </si>
  <si>
    <t>BRBSQCJ11Q</t>
  </si>
  <si>
    <t>PM LIMEIRA-EDUC. FUND-EMEIEF MARIA THERE</t>
  </si>
  <si>
    <t>BRBSQCK08L</t>
  </si>
  <si>
    <t>PM LIMEIRA-EDUC. FUND-EMEIEF CRESO ASSUMPCAO COIMB</t>
  </si>
  <si>
    <t>BRBSQCJ0QT</t>
  </si>
  <si>
    <t>EDUC. FUND.-JAMILE CERAM DE SOUZA</t>
  </si>
  <si>
    <t>BRBSQCJ0ZK</t>
  </si>
  <si>
    <t>PM LIMEIRA-EDUC. FUND-EMEI CLARA MONZONI</t>
  </si>
  <si>
    <t>BRBSQBV0CF</t>
  </si>
  <si>
    <t>PM LIMEIRA-EDUC. FUND-CEIEF RAFAEL AFFON</t>
  </si>
  <si>
    <t>BRBSQCJ0XQ</t>
  </si>
  <si>
    <t>PM LIMEIRA-EDUC. FUND-EMEIEF MARTIM LUTE</t>
  </si>
  <si>
    <t>BRBSQBV0HM</t>
  </si>
  <si>
    <t>PM LIMEIRA-EDUC. FUND- CEIEF DEOVALDO TE</t>
  </si>
  <si>
    <t>BRBSQCJ100</t>
  </si>
  <si>
    <t>PM LIMEIRA-EDUC. FUND-EMEIEF TENENTE AVIADOR</t>
  </si>
  <si>
    <t>BRBSQCJ0K9</t>
  </si>
  <si>
    <t>PM LIMEIRA-EDUC. FUND-CEIEF MARIA PAULIN</t>
  </si>
  <si>
    <t>BRBSQCJ0LX</t>
  </si>
  <si>
    <t>PM LIMEIRA-EDUC FUND-CEIEF MARIO COVAS</t>
  </si>
  <si>
    <t>BRBSQBW06W</t>
  </si>
  <si>
    <t>PM LIMEIRA-EDUC FUND-EMEIEF PRADA</t>
  </si>
  <si>
    <t>BRBSQ6H01Y</t>
  </si>
  <si>
    <t>EMEIEF - Raquel Ap. Gonçalves Franceschi</t>
  </si>
  <si>
    <t>BRBSQBL06P</t>
  </si>
  <si>
    <t>EDUC. FUND-EMEIEF ALDO JOSE KUHL</t>
  </si>
  <si>
    <t>BRBSQC9007</t>
  </si>
  <si>
    <t>PM LIMEIRA-EDUC FUND-EMEIEF ARACY NOGUEI</t>
  </si>
  <si>
    <t>BRBSQ6K00K</t>
  </si>
  <si>
    <t>CNC1Q2P040</t>
  </si>
  <si>
    <t>PM LIMEIRA - SEC. EDUCACAO - PROJETOS DE</t>
  </si>
  <si>
    <t>CNC1Q2R036</t>
  </si>
  <si>
    <t>PM LIMEIRA - SEC. EDUCAÇÃO - DIRETORIA F</t>
  </si>
  <si>
    <t>BRBSP9813C</t>
  </si>
  <si>
    <t xml:space="preserve">PM LIMEIRA - SEC. EDUCAÇÃO - DIVISÃO DE </t>
  </si>
  <si>
    <t>BRBSP7R09C</t>
  </si>
  <si>
    <t>PM LIMEIRA - SEC. EDUCAÇÃO - SECRETÁRIO</t>
  </si>
  <si>
    <t>BRBSP990V9</t>
  </si>
  <si>
    <t>PM LIMEIRA - SEC. EDUCAÇÃO - T.I.</t>
  </si>
  <si>
    <t>BRBSP990VW</t>
  </si>
  <si>
    <t>BRBSP990SB</t>
  </si>
  <si>
    <t>BRBSP990WN</t>
  </si>
  <si>
    <t>BRBSP9913M</t>
  </si>
  <si>
    <t>PM LIMEIRA-EDUC. FUND.-JAMILE CERAM DE SOUZA</t>
  </si>
  <si>
    <t>BRBSP990VS</t>
  </si>
  <si>
    <t>PM LIMEIRA-EDUC. FUND-EMEIEF ALFREDO STA</t>
  </si>
  <si>
    <t>BRBSP7V00H</t>
  </si>
  <si>
    <t xml:space="preserve"> PM LIMEIRA-EDUC. FUND-SECRETARIA EDUCAÇ</t>
  </si>
  <si>
    <t>BRBSP7R080</t>
  </si>
  <si>
    <t>PM LIMEIRA-EDUC FUND-SECRETARIA DE EDUCACAO</t>
  </si>
  <si>
    <t>BRBSP990VK</t>
  </si>
  <si>
    <t>BRBSQBL027</t>
  </si>
  <si>
    <t>EDUC FUNDAMENTAL</t>
  </si>
  <si>
    <t>PM LIMEIRA - EMEI - Bruno Rizzo Marosteg</t>
  </si>
  <si>
    <t>BRBSQ2J0S8</t>
  </si>
  <si>
    <t>PM LIMEIRA-EDUC. INFANTIL-CI IRENE GOMES</t>
  </si>
  <si>
    <t>BRBSQ6P08V</t>
  </si>
  <si>
    <t>PM LIMEIRA-EDUC. INFANTIL-C.I LUCILIA RA</t>
  </si>
  <si>
    <t>BRBSQBL0CS</t>
  </si>
  <si>
    <t>PM LIMEIRA-EDUC. INFANTIL-ALMOXARIFADO E</t>
  </si>
  <si>
    <t>BRBSQBL0BX</t>
  </si>
  <si>
    <t>PM LIMEIRA-EDUC. INFANTIL-EMEI MARIA WIL</t>
  </si>
  <si>
    <t>BRBSQBL0BW</t>
  </si>
  <si>
    <t>PM LIMEIRA-EDUC. INFANTIL-C.I JOAO ARY C</t>
  </si>
  <si>
    <t>BRBSQ9Q0RF</t>
  </si>
  <si>
    <t>PM LIMEIRA-EDUC. INFANTIL-C.I MARCIA HEL</t>
  </si>
  <si>
    <t>BRBSQ9Q0VP</t>
  </si>
  <si>
    <t>PM LIMEIRA-EDUC. INFANTIL-C.I CAROLINE P</t>
  </si>
  <si>
    <t>BRBSQ6G1MD</t>
  </si>
  <si>
    <t>PM LIMEIRA-EDUC. INFANTIL-C.I WALDIMIR J</t>
  </si>
  <si>
    <t>BRBSQBL03P</t>
  </si>
  <si>
    <t>PM LIMEIRA-EDUC. INFANTIL-C.I ALDELENA B</t>
  </si>
  <si>
    <t>BRBSQBL06B</t>
  </si>
  <si>
    <t>PM LIMEIRA-EDUC. INFANTIL-C.I DINAH BERT</t>
  </si>
  <si>
    <t>BRBSQ9W086</t>
  </si>
  <si>
    <t>PM LIMEIRA-EDUC. INFANTIL-C.I IRMA MARIA</t>
  </si>
  <si>
    <t>BRBSQBL0FQ</t>
  </si>
  <si>
    <t>PM LIMEIRA-EDUC. INFANTIL-EMEI THEREZA V</t>
  </si>
  <si>
    <t>BRBSQ9Q0S9</t>
  </si>
  <si>
    <t>PM LIMEIRA-EDUC. INFANTIL-C.I MURILO LEM</t>
  </si>
  <si>
    <t>BRBSQ9Q0SC</t>
  </si>
  <si>
    <t>PM LIMEIRA-EDUC. INFANTIL-C.I JOSE REINA</t>
  </si>
  <si>
    <t>BRBSQ9X001</t>
  </si>
  <si>
    <t>PM LIMEIRA-EDUC. INFANTIL-C.I ORLANDA GR</t>
  </si>
  <si>
    <t>BRBSQ9W0MF</t>
  </si>
  <si>
    <t>PM LIMEIRA-EDUC. INFANTIL-EMEI HILDA MAR</t>
  </si>
  <si>
    <t>BRBSQ9Q0R0</t>
  </si>
  <si>
    <t>PM LIMEIRA-EDUC. INFANTIL-C.I CLAUDIONOR</t>
  </si>
  <si>
    <t>BRBSQBL0G0</t>
  </si>
  <si>
    <t>PM LIMEIRA-EDUC. INFANTIL-C.I RUBENS PIN</t>
  </si>
  <si>
    <t>BRBSQ2K07G</t>
  </si>
  <si>
    <t>PM DE LIMEIRA -EDUC. INFANTIL-C.I LUCIND</t>
  </si>
  <si>
    <t>BRBSQ9W0Q6</t>
  </si>
  <si>
    <t xml:space="preserve">PM LIMEIRA -EDUC. INFANTIL-C.I CAROLINA </t>
  </si>
  <si>
    <t>BRBSQBL08X</t>
  </si>
  <si>
    <t>EDUC. INFANTIL-C.I JONAS PEREIRA BRITO</t>
  </si>
  <si>
    <t>BRBSQ9Q0T3</t>
  </si>
  <si>
    <t>PM LIMEIRA-EDUC. INFANTIL-C.I STELLA REG</t>
  </si>
  <si>
    <t>BRBSQBL073</t>
  </si>
  <si>
    <t>PM LIMEIRA-EDUC. INFANTIL-C.I JOSE EDUAR</t>
  </si>
  <si>
    <t>BRBSQ9Q0VJ</t>
  </si>
  <si>
    <t>PM LIMEIRA-EDUC. INFANTIL- C.I LIA MAURA</t>
  </si>
  <si>
    <t>BRBSQ9W0Q5</t>
  </si>
  <si>
    <t>PM LIMEIRA-EDUC. INFANTIL-EMEI CELIO SAM</t>
  </si>
  <si>
    <t>BRBSQ9Q0ST</t>
  </si>
  <si>
    <t>PM LIMEIRA-EDUC. INFANTIL-C.I MARIANA SE</t>
  </si>
  <si>
    <t>PM LIMEIRA-EDUC. INFANTIL-C.I ARY LEVY P</t>
  </si>
  <si>
    <t>BRBSQ9Q0SS</t>
  </si>
  <si>
    <t>PM LIMEIRA-EDUC. INFANTIL-CI FABIO FRANC</t>
  </si>
  <si>
    <t>BRBSQBT0JH</t>
  </si>
  <si>
    <t>PM LIMEIRA-EDUC. INFANTIL-CI VILMA TEREZ</t>
  </si>
  <si>
    <t>BRBSQBW070</t>
  </si>
  <si>
    <t>PM LIMEIRA-EDUC. INFANTIL-CI NEUSA FRANC</t>
  </si>
  <si>
    <t>BRBSQBT0C2</t>
  </si>
  <si>
    <t>PM LIMEIRA-EDUC. INFANTIL-CI CELIA REGIN</t>
  </si>
  <si>
    <t>BRBSQCJ0JW</t>
  </si>
  <si>
    <t>BRBSQCR00H</t>
  </si>
  <si>
    <t>EDUC INFATIL</t>
  </si>
  <si>
    <t>MEDIA</t>
  </si>
  <si>
    <t>RESMAS</t>
  </si>
  <si>
    <t>PM LIMEIRA- ADM RESERVA MUSEU MAJOR</t>
  </si>
  <si>
    <t>BRBSQ9W06X</t>
  </si>
  <si>
    <t>BRBSQ6R03K</t>
  </si>
  <si>
    <t xml:space="preserve">PM LIMEIRA - ADM - MEIO AMBIENTE </t>
  </si>
  <si>
    <t>BRBSQ6S023</t>
  </si>
  <si>
    <t>LIMEIRA_SEC. SAUDE_ALMOXARIFADO</t>
  </si>
  <si>
    <t>PM LIMEIRA - ADM - MEIO AMBIENTE</t>
  </si>
  <si>
    <t xml:space="preserve">Resmas </t>
  </si>
  <si>
    <t>Produção</t>
  </si>
  <si>
    <t>CAPS AD</t>
  </si>
  <si>
    <t xml:space="preserve">VIGILÂNCIA SANITÁRIA - NÚCLEO TÉCNICO </t>
  </si>
  <si>
    <t>CAPS INFANTIL</t>
  </si>
  <si>
    <t xml:space="preserve">P.A. PQ HIPÓLITO RECEPÇÃO </t>
  </si>
  <si>
    <t xml:space="preserve">COMPRAS </t>
  </si>
  <si>
    <t>CONSELHO MUNICIPAL</t>
  </si>
  <si>
    <t xml:space="preserve">FUNDO MUNICIPAL </t>
  </si>
  <si>
    <t>CENTRO DE TERAP. INTEGRADAS 2º ANDAR</t>
  </si>
  <si>
    <t xml:space="preserve">PM LIMEIRA - UBS NOVA LIMEIRA </t>
  </si>
  <si>
    <t>BRBSQC9026</t>
  </si>
  <si>
    <t>RH</t>
  </si>
  <si>
    <t>CENTRO DE TERAP. INTEGRADAS RECEPÇÃO</t>
  </si>
  <si>
    <t>FARMACIA DE ALTO CUSTO</t>
  </si>
  <si>
    <t>SEMIL - RECEPÇÃO</t>
  </si>
  <si>
    <t>LABORATÓRIO MUNICIPAL</t>
  </si>
  <si>
    <t>POLICLINICA - CENTRAL TELEFONICA 1º ANDA</t>
  </si>
  <si>
    <t>SAUDE BUCAL RECEPÇÃO</t>
  </si>
  <si>
    <t xml:space="preserve">SAÚDE DA MULHER - RECEPÇÃO PRINCIPAL </t>
  </si>
  <si>
    <t>UBS CIDADE JARDIM</t>
  </si>
  <si>
    <t>CAPS II</t>
  </si>
  <si>
    <t>UBS NOVA EUROPA</t>
  </si>
  <si>
    <t>UBS RUBI AMBULATÓRIO</t>
  </si>
  <si>
    <t xml:space="preserve">P.A. AEROPORTO ENFERMGEM </t>
  </si>
  <si>
    <t xml:space="preserve">UBS GRAMINHA </t>
  </si>
  <si>
    <t>UBS CECAP</t>
  </si>
  <si>
    <t xml:space="preserve">CEMA </t>
  </si>
  <si>
    <t>UBS MORRO AZUL</t>
  </si>
  <si>
    <t>UBS N. S. DAS DORES 1</t>
  </si>
  <si>
    <t>UBS ABILIO PEDRO</t>
  </si>
  <si>
    <t xml:space="preserve">SAMU ADMINISTRAÇÃO </t>
  </si>
  <si>
    <t xml:space="preserve">CENTRAL DE AMBULÂNCIA - AGENDAMENTO </t>
  </si>
  <si>
    <t>UBS AEROPORTO</t>
  </si>
  <si>
    <t>UBS NOVA SUIÇA</t>
  </si>
  <si>
    <t>UBS BOA VISTA</t>
  </si>
  <si>
    <t>UBS HIPOLITO I</t>
  </si>
  <si>
    <t>UBS PLANALTO</t>
  </si>
  <si>
    <t>ZOONOSES CONTROLE DE DENGUE</t>
  </si>
  <si>
    <t>VIGILÂNCIA EPDEMIOLOGICA</t>
  </si>
  <si>
    <t>ATERRO SANITARIO</t>
  </si>
  <si>
    <t>UBS VISTA ALEGRE</t>
  </si>
  <si>
    <t>ZOONOSES ADM</t>
  </si>
  <si>
    <t>UBS BELINHA OMETTO 2</t>
  </si>
  <si>
    <t>UBS CAMPO BELO</t>
  </si>
  <si>
    <t>SAUDE DA MULHER 2º ANDAR</t>
  </si>
  <si>
    <t>CSF ERNESTO KUHL 1</t>
  </si>
  <si>
    <t>POLICLINICA CONS. 07 (2º ANDAR)</t>
  </si>
  <si>
    <t>POLICLINICA - RECEPÇÃO 1ºANDAR</t>
  </si>
  <si>
    <t>UPA ABILIO PEDRO COORDENAÇÃO</t>
  </si>
  <si>
    <t>UPA ABILIO PEDRO MEDICAÇÃO</t>
  </si>
  <si>
    <t>UAC</t>
  </si>
  <si>
    <t>VIGILANCIA SANITARIA</t>
  </si>
  <si>
    <t xml:space="preserve">UBS ANAVEC </t>
  </si>
  <si>
    <t>UBS N. S. DAS DORES 2</t>
  </si>
  <si>
    <t>BRBSP99159</t>
  </si>
  <si>
    <t>UBS RUBI</t>
  </si>
  <si>
    <t>BRBSQ8B008</t>
  </si>
  <si>
    <t>BRBSQCQ020</t>
  </si>
  <si>
    <t xml:space="preserve">PROG. DE ASSISTENCIA DOMICILIAR (PAD) </t>
  </si>
  <si>
    <t>UBS AMPARO</t>
  </si>
  <si>
    <t xml:space="preserve">P.A. PQ HIPOLITO CONS. 01    </t>
  </si>
  <si>
    <t>BRBSQCQ1H5</t>
  </si>
  <si>
    <t>P.A. PQ. HIPOLITO MEDICAÇÃO</t>
  </si>
  <si>
    <t>SEMIL</t>
  </si>
  <si>
    <t>POLICLINICA - RAIO X 1ºANDAR</t>
  </si>
  <si>
    <t>POLICLINICA - AGENDAMENTO 1ºANDAR</t>
  </si>
  <si>
    <t>UBS SANTO ANDRÉ</t>
  </si>
  <si>
    <t>POLICLINICA - AMBULATORIO DE FERIDAS 1ºA</t>
  </si>
  <si>
    <t>POLICLINICA - FISIOTERAPIA 1ºANDAR</t>
  </si>
  <si>
    <t>UPA PEDIATRIA</t>
  </si>
  <si>
    <t>POLICLINICA CONS. 04 (2º ANDAR)</t>
  </si>
  <si>
    <t>UPA ABILIO PEDRO CONS. 03</t>
  </si>
  <si>
    <t>BRBSP9812Z</t>
  </si>
  <si>
    <t>CSF ODECIO DEGAN</t>
  </si>
  <si>
    <t>BRBSQCQ1L3</t>
  </si>
  <si>
    <t>BRBSP991BS</t>
  </si>
  <si>
    <t>P.A. AEROPORTO CONS.03</t>
  </si>
  <si>
    <t>LABORATORIO CITOLOGIA</t>
  </si>
  <si>
    <t>P.A. AEROPORTO</t>
  </si>
  <si>
    <t>POLICLINICA CONS. 20 (2º ANDAR)</t>
  </si>
  <si>
    <t>LABORATORIO MUNICIPAL</t>
  </si>
  <si>
    <t>P.A. AEROPORTO CONS.04</t>
  </si>
  <si>
    <t>BRBSQ8B00P</t>
  </si>
  <si>
    <t>UBS LOPES</t>
  </si>
  <si>
    <t>UBS BOA ESPERANCA</t>
  </si>
  <si>
    <t>UBS NOVO HORIZONTE</t>
  </si>
  <si>
    <t>BRBSP991BR</t>
  </si>
  <si>
    <t>BRBSQCQ1M0</t>
  </si>
  <si>
    <t>SAUDE BUCAL ALMOXARIFADO</t>
  </si>
  <si>
    <t>UPA ABILIO PEDRO CONS. 02</t>
  </si>
  <si>
    <t>BRBSQ8B00B</t>
  </si>
  <si>
    <t>UPA ABILIO PEDRO CONS. 01</t>
  </si>
  <si>
    <t>BRBSP9912G</t>
  </si>
  <si>
    <t>UPA ABILIO PEDRO OBSERVAÇÃO</t>
  </si>
  <si>
    <t>UBS PQ HIPOLITO II</t>
  </si>
  <si>
    <t>SAUDE BUCAL</t>
  </si>
  <si>
    <t>PROGRAMA DE SAUDE DO TRABALHADOR</t>
  </si>
  <si>
    <t>UBS PINHAL</t>
  </si>
  <si>
    <t>UBS BELINHA OMETTO 1</t>
  </si>
  <si>
    <t>UBS BELINHA OMETTO 3</t>
  </si>
  <si>
    <t>SAUDE DA MULHER CONS.1</t>
  </si>
  <si>
    <t>POLICLINICA - AMBULATORIO DE FERIDAS - c</t>
  </si>
  <si>
    <t>SAUDE DA MULHER</t>
  </si>
  <si>
    <t>CSF ERNESTO KUHL 2</t>
  </si>
  <si>
    <t>BRBSQCX0VR</t>
  </si>
  <si>
    <t>BRBSQCQ029</t>
  </si>
  <si>
    <t>UBS LAGOA NOVA</t>
  </si>
  <si>
    <t>BRBSQCQ06B</t>
  </si>
  <si>
    <t>BRBSQCY05N</t>
  </si>
  <si>
    <t>POLICLINICA CONS. 02 (2º ANDAR))</t>
  </si>
  <si>
    <t>POLICLINICA CONS. 05 (2º ANDAR)</t>
  </si>
  <si>
    <t>POLICLINICA CONS. 06 (2º ANDAR)</t>
  </si>
  <si>
    <t>POLICLINICA CONS. 10 (2º ANDAR)</t>
  </si>
  <si>
    <t>POLICLINICA CONS. 12 (2º ANDAR)</t>
  </si>
  <si>
    <t>POLICLINICA CONS. 13 (2º ANDAR)</t>
  </si>
  <si>
    <t>POLICLINICA CONS. 15 (2º ANDAR)</t>
  </si>
  <si>
    <t>POLICLINICA CONS. 18 (2º ANDAR)</t>
  </si>
  <si>
    <t>POLICLINICA CONS. 21 (2º ANDAR)</t>
  </si>
  <si>
    <t>POLICLINICA CONS. 22 (2º ANDAR)</t>
  </si>
  <si>
    <t>P.A. PQ HIPOLITO CONS. 03</t>
  </si>
  <si>
    <t>P.A. AEROPORTO CONS.05</t>
  </si>
  <si>
    <t>CENTRAL DE AMBULANCIA</t>
  </si>
  <si>
    <t>BRBSQBS0JM</t>
  </si>
  <si>
    <t>BRBSQCX107</t>
  </si>
  <si>
    <t>P.A. PQ HIPOLITO CONS. 02</t>
  </si>
  <si>
    <t>P.A. AEROPORTO CONS.01</t>
  </si>
  <si>
    <t>PM LIMEIRA-EDUC. FUND-EMEIEF MAURO SOUZA</t>
  </si>
  <si>
    <t>SAUDE-CAPS II</t>
  </si>
  <si>
    <t>PM LIMEIRA-SAUDE-CSF LAGOA NOVA</t>
  </si>
  <si>
    <t xml:space="preserve">ENS. FUND - EMEIEF ANGELO BIASOTO </t>
  </si>
  <si>
    <t>BRBST4301T</t>
  </si>
  <si>
    <t xml:space="preserve">ENS. FUND - EMEIEF BAIRRO DOS LOPES </t>
  </si>
  <si>
    <t>BRBST4J01R</t>
  </si>
  <si>
    <t>EMEIEF ALFREDO STHALBERG</t>
  </si>
  <si>
    <t>BRBST4J01P</t>
  </si>
  <si>
    <t>SEC. EDUCAÇÃO - BIBLIOTECA PEDAGÓGICA</t>
  </si>
  <si>
    <t>BRBST43026</t>
  </si>
  <si>
    <t xml:space="preserve">SEC. EDUCAÇÃO - EDUCAÇÃO ESPECIAL </t>
  </si>
  <si>
    <t>BRBST4302H</t>
  </si>
  <si>
    <t>SEC. EDUCAÇÃO - DIRETORIA PLAN. E ADM</t>
  </si>
  <si>
    <t>BRBST4J01S</t>
  </si>
  <si>
    <t xml:space="preserve">SEC. EDUCAÇÃO-EXPEDIENTE(PROCESSOS GSE) </t>
  </si>
  <si>
    <t>BRBST4J01G</t>
  </si>
  <si>
    <t xml:space="preserve">SEC. EDUDAÇÃO - CEIEF GOV. MARIO COVAS </t>
  </si>
  <si>
    <t>BRBST4J01W</t>
  </si>
  <si>
    <t>EDUC-COMPRAS, LICITAÇÕES E SUPRIMENTOS</t>
  </si>
  <si>
    <t>BRBST4J01N</t>
  </si>
  <si>
    <t xml:space="preserve">SEC. EDUCAÇÃO - TEC DA INFORMAÇÃO </t>
  </si>
  <si>
    <t>BRBST4302F</t>
  </si>
  <si>
    <t>PM LIMEIRA SAUDE ESTOQUE</t>
  </si>
  <si>
    <t>BRBSQCR023</t>
  </si>
  <si>
    <t>PM LIMEIRA AEROPORTO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</si>
</sst>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7" fontId="0" fillId="0" borderId="0" xfId="0" applyNumberFormat="1"/>
    <xf numFmtId="0" fontId="0" fillId="0" borderId="0" xfId="0" applyAlignment="1">
      <alignment horizontal="center"/>
    </xf>
    <xf numFmtId="17" fontId="0" fillId="0" borderId="7" xfId="0" applyNumberFormat="1" applyBorder="1" applyAlignment="1">
      <alignment horizontal="center" vertical="center"/>
    </xf>
    <xf numFmtId="17" fontId="0" fillId="0" borderId="8" xfId="0" applyNumberFormat="1" applyBorder="1" applyAlignment="1">
      <alignment horizontal="center" vertical="center"/>
    </xf>
    <xf numFmtId="0" fontId="0" fillId="0" borderId="4" xfId="0" applyBorder="1"/>
    <xf numFmtId="17" fontId="0" fillId="0" borderId="9" xfId="0" applyNumberFormat="1" applyBorder="1" applyAlignment="1">
      <alignment horizontal="center" vertical="center"/>
    </xf>
    <xf numFmtId="0" fontId="0" fillId="0" borderId="10" xfId="0" applyBorder="1"/>
    <xf numFmtId="1" fontId="0" fillId="0" borderId="4" xfId="0" applyNumberFormat="1" applyBorder="1" applyAlignment="1">
      <alignment horizontal="center"/>
    </xf>
    <xf numFmtId="0" fontId="0" fillId="3" borderId="4" xfId="0" applyFill="1" applyBorder="1" applyAlignment="1">
      <alignment horizontal="center"/>
    </xf>
    <xf numFmtId="1" fontId="0" fillId="0" borderId="0" xfId="0" applyNumberFormat="1" applyBorder="1"/>
    <xf numFmtId="0" fontId="1" fillId="0" borderId="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2" fillId="0" borderId="21" xfId="0" applyFont="1" applyBorder="1"/>
    <xf numFmtId="0" fontId="2" fillId="0" borderId="22" xfId="0" applyFont="1" applyBorder="1"/>
    <xf numFmtId="0" fontId="0" fillId="3" borderId="15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0" borderId="18" xfId="0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1" fontId="0" fillId="0" borderId="23" xfId="0" applyNumberFormat="1" applyBorder="1" applyAlignment="1">
      <alignment horizontal="center"/>
    </xf>
    <xf numFmtId="0" fontId="0" fillId="3" borderId="24" xfId="0" applyFill="1" applyBorder="1" applyAlignment="1">
      <alignment horizontal="center"/>
    </xf>
    <xf numFmtId="1" fontId="0" fillId="0" borderId="25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7767B-45CD-4E5C-82A6-86816CAE436F}">
  <dimension ref="A1:AP130"/>
  <sheetViews>
    <sheetView showGridLines="0" topLeftCell="J1" workbookViewId="0">
      <selection activeCell="N3" sqref="N3"/>
    </sheetView>
  </sheetViews>
  <sheetFormatPr defaultRowHeight="15" x14ac:dyDescent="0.25"/>
  <cols>
    <col min="1" max="1" width="52.28515625" hidden="1" customWidth="1"/>
    <col min="2" max="2" width="14.28515625" hidden="1" customWidth="1"/>
    <col min="3" max="3" width="13.5703125" hidden="1" customWidth="1"/>
    <col min="4" max="9" width="0" hidden="1" customWidth="1"/>
    <col min="10" max="10" width="12.5703125" customWidth="1"/>
    <col min="11" max="11" width="14.28515625" bestFit="1" customWidth="1"/>
    <col min="12" max="12" width="7.42578125" customWidth="1"/>
    <col min="13" max="13" width="7" customWidth="1"/>
    <col min="14" max="14" width="8.5703125" customWidth="1"/>
    <col min="15" max="15" width="8.140625" style="2" bestFit="1" customWidth="1"/>
    <col min="16" max="16" width="1.28515625" customWidth="1"/>
    <col min="17" max="17" width="23.5703125" customWidth="1"/>
    <col min="18" max="18" width="13.7109375" bestFit="1" customWidth="1"/>
    <col min="19" max="19" width="7.140625" customWidth="1"/>
    <col min="20" max="20" width="7" customWidth="1"/>
    <col min="23" max="23" width="1.140625" customWidth="1"/>
    <col min="24" max="26" width="0" hidden="1" customWidth="1"/>
    <col min="27" max="27" width="20" customWidth="1"/>
    <col min="28" max="28" width="13.85546875" bestFit="1" customWidth="1"/>
    <col min="29" max="30" width="7.140625" customWidth="1"/>
    <col min="33" max="33" width="1.42578125" customWidth="1"/>
    <col min="34" max="36" width="0" hidden="1" customWidth="1"/>
    <col min="37" max="37" width="12.42578125" customWidth="1"/>
    <col min="38" max="38" width="13.5703125" bestFit="1" customWidth="1"/>
    <col min="39" max="40" width="8" customWidth="1"/>
    <col min="42" max="42" width="8.140625" bestFit="1" customWidth="1"/>
  </cols>
  <sheetData>
    <row r="1" spans="1:42" ht="16.5" thickBot="1" x14ac:dyDescent="0.3">
      <c r="J1" s="12" t="s">
        <v>223</v>
      </c>
      <c r="K1" s="13"/>
      <c r="L1" s="14"/>
      <c r="M1" s="15"/>
      <c r="Q1" s="12" t="s">
        <v>424</v>
      </c>
      <c r="R1" s="13"/>
      <c r="S1" s="13"/>
      <c r="T1" s="16"/>
      <c r="U1" s="11"/>
      <c r="V1" s="11"/>
      <c r="AA1" s="12" t="s">
        <v>555</v>
      </c>
      <c r="AB1" s="13"/>
      <c r="AC1" s="13"/>
      <c r="AD1" s="16"/>
      <c r="AE1" s="11"/>
      <c r="AF1" s="11"/>
      <c r="AK1" s="12" t="s">
        <v>620</v>
      </c>
      <c r="AL1" s="13"/>
      <c r="AM1" s="13"/>
      <c r="AN1" s="16"/>
    </row>
    <row r="2" spans="1:42" x14ac:dyDescent="0.25">
      <c r="A2" s="1">
        <v>45717</v>
      </c>
      <c r="J2" s="1"/>
      <c r="L2" s="3">
        <v>46082</v>
      </c>
      <c r="M2" s="6">
        <v>45717</v>
      </c>
      <c r="N2" s="9" t="s">
        <v>621</v>
      </c>
      <c r="O2" s="9" t="s">
        <v>622</v>
      </c>
      <c r="S2" s="3">
        <v>46082</v>
      </c>
      <c r="T2" s="4">
        <v>45717</v>
      </c>
      <c r="U2" s="9" t="s">
        <v>621</v>
      </c>
      <c r="V2" s="9" t="s">
        <v>622</v>
      </c>
      <c r="AC2" s="3">
        <v>46082</v>
      </c>
      <c r="AD2" s="4">
        <v>45717</v>
      </c>
      <c r="AE2" s="9" t="s">
        <v>621</v>
      </c>
      <c r="AF2" s="9" t="s">
        <v>622</v>
      </c>
      <c r="AJ2" s="1">
        <v>45717</v>
      </c>
      <c r="AK2" s="1"/>
      <c r="AM2" s="3">
        <v>46082</v>
      </c>
      <c r="AN2" s="4">
        <v>45717</v>
      </c>
      <c r="AO2" s="9" t="s">
        <v>621</v>
      </c>
      <c r="AP2" s="9" t="s">
        <v>622</v>
      </c>
    </row>
    <row r="3" spans="1:42" x14ac:dyDescent="0.25">
      <c r="A3" t="s">
        <v>0</v>
      </c>
      <c r="B3" t="s">
        <v>1</v>
      </c>
      <c r="C3" t="s">
        <v>2</v>
      </c>
      <c r="J3" s="5" t="s">
        <v>3</v>
      </c>
      <c r="K3" s="5" t="s">
        <v>4</v>
      </c>
      <c r="L3" s="5">
        <v>1695</v>
      </c>
      <c r="M3" s="7">
        <f t="shared" ref="M3:M34" si="0">VLOOKUP(J3,$A$4:$C$130,3,0)</f>
        <v>1998</v>
      </c>
      <c r="N3" s="8">
        <f>MEDIAN(L3:M3)</f>
        <v>1846.5</v>
      </c>
      <c r="O3" s="8">
        <f>N3/500</f>
        <v>3.6930000000000001</v>
      </c>
      <c r="Q3" s="5" t="s">
        <v>224</v>
      </c>
      <c r="R3" s="5" t="s">
        <v>225</v>
      </c>
      <c r="S3" s="5">
        <v>7801</v>
      </c>
      <c r="T3" s="5">
        <v>2529</v>
      </c>
      <c r="U3" s="8">
        <f>MEDIAN(S3:T3)</f>
        <v>5165</v>
      </c>
      <c r="V3" s="8">
        <f>U3/500</f>
        <v>10.33</v>
      </c>
      <c r="X3" t="s">
        <v>425</v>
      </c>
      <c r="Y3" t="s">
        <v>426</v>
      </c>
      <c r="Z3">
        <v>155</v>
      </c>
      <c r="AA3" s="5" t="s">
        <v>425</v>
      </c>
      <c r="AB3" s="5" t="s">
        <v>426</v>
      </c>
      <c r="AC3" s="5">
        <v>1452</v>
      </c>
      <c r="AD3" s="5">
        <f t="shared" ref="AD3:AD34" si="1">VLOOKUP(AA3,$X$3:$Z$69,3,0)</f>
        <v>155</v>
      </c>
      <c r="AE3" s="8">
        <f>MEDIAN(AC3:AD3)</f>
        <v>803.5</v>
      </c>
      <c r="AF3" s="8">
        <f>AE3/500</f>
        <v>1.607</v>
      </c>
      <c r="AH3" t="s">
        <v>556</v>
      </c>
      <c r="AI3" t="s">
        <v>557</v>
      </c>
      <c r="AJ3">
        <v>1044</v>
      </c>
      <c r="AK3" s="5" t="s">
        <v>556</v>
      </c>
      <c r="AL3" s="5" t="s">
        <v>557</v>
      </c>
      <c r="AM3" s="5">
        <v>6898</v>
      </c>
      <c r="AN3" s="5">
        <f t="shared" ref="AN3:AN34" si="2">VLOOKUP(AK3,$AH$3:$AJ$35,3,0)</f>
        <v>1044</v>
      </c>
      <c r="AO3" s="8">
        <f>MEDIAN(AM3:AN3)</f>
        <v>3971</v>
      </c>
      <c r="AP3" s="8">
        <f>AO3/500</f>
        <v>7.9420000000000002</v>
      </c>
    </row>
    <row r="4" spans="1:42" x14ac:dyDescent="0.25">
      <c r="A4" t="s">
        <v>3</v>
      </c>
      <c r="B4" t="s">
        <v>4</v>
      </c>
      <c r="C4">
        <v>1998</v>
      </c>
      <c r="J4" s="5" t="s">
        <v>5</v>
      </c>
      <c r="K4" s="5" t="s">
        <v>6</v>
      </c>
      <c r="L4" s="5">
        <v>7434</v>
      </c>
      <c r="M4" s="7">
        <f t="shared" si="0"/>
        <v>6625</v>
      </c>
      <c r="N4" s="8">
        <f t="shared" ref="N4:N67" si="3">MEDIAN(L4:M4)</f>
        <v>7029.5</v>
      </c>
      <c r="O4" s="8">
        <f t="shared" ref="O4:O67" si="4">N4/500</f>
        <v>14.058999999999999</v>
      </c>
      <c r="Q4" s="5" t="s">
        <v>226</v>
      </c>
      <c r="R4" s="5" t="s">
        <v>227</v>
      </c>
      <c r="S4" s="5">
        <v>5599</v>
      </c>
      <c r="T4" s="5">
        <v>3262</v>
      </c>
      <c r="U4" s="8">
        <f t="shared" ref="U4:U67" si="5">MEDIAN(S4:T4)</f>
        <v>4430.5</v>
      </c>
      <c r="V4" s="8">
        <f t="shared" ref="V4:V67" si="6">U4/500</f>
        <v>8.8610000000000007</v>
      </c>
      <c r="X4" t="s">
        <v>427</v>
      </c>
      <c r="Y4" t="s">
        <v>428</v>
      </c>
      <c r="Z4">
        <v>1000</v>
      </c>
      <c r="AA4" s="5" t="s">
        <v>427</v>
      </c>
      <c r="AB4" s="5" t="s">
        <v>428</v>
      </c>
      <c r="AC4" s="5">
        <v>11461</v>
      </c>
      <c r="AD4" s="5">
        <f t="shared" si="1"/>
        <v>1000</v>
      </c>
      <c r="AE4" s="8">
        <f t="shared" ref="AE4:AE57" si="7">MEDIAN(AC4:AD4)</f>
        <v>6230.5</v>
      </c>
      <c r="AF4" s="8">
        <f t="shared" ref="AF4:AF57" si="8">AE4/500</f>
        <v>12.461</v>
      </c>
      <c r="AH4" t="s">
        <v>558</v>
      </c>
      <c r="AI4" t="s">
        <v>559</v>
      </c>
      <c r="AJ4">
        <v>4855</v>
      </c>
      <c r="AK4" s="5" t="s">
        <v>558</v>
      </c>
      <c r="AL4" s="5" t="s">
        <v>559</v>
      </c>
      <c r="AM4" s="5">
        <v>10384</v>
      </c>
      <c r="AN4" s="5">
        <f t="shared" si="2"/>
        <v>4855</v>
      </c>
      <c r="AO4" s="8">
        <f t="shared" ref="AO4:AO34" si="9">MEDIAN(AM4:AN4)</f>
        <v>7619.5</v>
      </c>
      <c r="AP4" s="8">
        <f t="shared" ref="AP4:AP34" si="10">AO4/500</f>
        <v>15.239000000000001</v>
      </c>
    </row>
    <row r="5" spans="1:42" x14ac:dyDescent="0.25">
      <c r="A5" t="s">
        <v>5</v>
      </c>
      <c r="B5" t="s">
        <v>6</v>
      </c>
      <c r="C5">
        <v>6625</v>
      </c>
      <c r="J5" s="5" t="s">
        <v>7</v>
      </c>
      <c r="K5" s="5" t="s">
        <v>8</v>
      </c>
      <c r="L5" s="5">
        <v>1264</v>
      </c>
      <c r="M5" s="7">
        <f t="shared" si="0"/>
        <v>1663</v>
      </c>
      <c r="N5" s="8">
        <f t="shared" si="3"/>
        <v>1463.5</v>
      </c>
      <c r="O5" s="8">
        <f t="shared" si="4"/>
        <v>2.927</v>
      </c>
      <c r="Q5" s="5" t="s">
        <v>228</v>
      </c>
      <c r="R5" s="5" t="s">
        <v>229</v>
      </c>
      <c r="S5" s="5">
        <v>1484</v>
      </c>
      <c r="T5" s="5">
        <v>9085</v>
      </c>
      <c r="U5" s="8">
        <f t="shared" si="5"/>
        <v>5284.5</v>
      </c>
      <c r="V5" s="8">
        <f t="shared" si="6"/>
        <v>10.569000000000001</v>
      </c>
      <c r="X5" t="s">
        <v>429</v>
      </c>
      <c r="Y5" t="s">
        <v>430</v>
      </c>
      <c r="Z5">
        <v>5589</v>
      </c>
      <c r="AA5" s="5" t="s">
        <v>429</v>
      </c>
      <c r="AB5" s="5" t="s">
        <v>430</v>
      </c>
      <c r="AC5" s="5">
        <v>10459</v>
      </c>
      <c r="AD5" s="5">
        <f t="shared" si="1"/>
        <v>5589</v>
      </c>
      <c r="AE5" s="8">
        <f t="shared" si="7"/>
        <v>8024</v>
      </c>
      <c r="AF5" s="8">
        <f t="shared" si="8"/>
        <v>16.047999999999998</v>
      </c>
      <c r="AH5" t="s">
        <v>560</v>
      </c>
      <c r="AI5" t="s">
        <v>561</v>
      </c>
      <c r="AJ5">
        <v>5408</v>
      </c>
      <c r="AK5" s="5" t="s">
        <v>560</v>
      </c>
      <c r="AL5" s="5" t="s">
        <v>561</v>
      </c>
      <c r="AM5" s="5">
        <v>6332</v>
      </c>
      <c r="AN5" s="5">
        <f t="shared" si="2"/>
        <v>5408</v>
      </c>
      <c r="AO5" s="8">
        <f t="shared" si="9"/>
        <v>5870</v>
      </c>
      <c r="AP5" s="8">
        <f t="shared" si="10"/>
        <v>11.74</v>
      </c>
    </row>
    <row r="6" spans="1:42" x14ac:dyDescent="0.25">
      <c r="A6" t="s">
        <v>7</v>
      </c>
      <c r="B6" t="s">
        <v>8</v>
      </c>
      <c r="C6">
        <v>1663</v>
      </c>
      <c r="J6" s="5" t="s">
        <v>3</v>
      </c>
      <c r="K6" s="5" t="s">
        <v>9</v>
      </c>
      <c r="L6" s="5">
        <v>4356</v>
      </c>
      <c r="M6" s="7">
        <f t="shared" si="0"/>
        <v>1998</v>
      </c>
      <c r="N6" s="8">
        <f t="shared" si="3"/>
        <v>3177</v>
      </c>
      <c r="O6" s="8">
        <f t="shared" si="4"/>
        <v>6.3540000000000001</v>
      </c>
      <c r="Q6" s="5" t="s">
        <v>230</v>
      </c>
      <c r="R6" s="5" t="s">
        <v>231</v>
      </c>
      <c r="S6" s="5">
        <v>5133</v>
      </c>
      <c r="T6" s="5">
        <v>6174</v>
      </c>
      <c r="U6" s="8">
        <f t="shared" si="5"/>
        <v>5653.5</v>
      </c>
      <c r="V6" s="8">
        <f t="shared" si="6"/>
        <v>11.307</v>
      </c>
      <c r="X6" t="s">
        <v>431</v>
      </c>
      <c r="Y6" t="s">
        <v>432</v>
      </c>
      <c r="Z6">
        <v>6444</v>
      </c>
      <c r="AA6" s="5" t="s">
        <v>431</v>
      </c>
      <c r="AB6" s="5" t="s">
        <v>432</v>
      </c>
      <c r="AC6" s="5">
        <v>18928</v>
      </c>
      <c r="AD6" s="5">
        <f t="shared" si="1"/>
        <v>6444</v>
      </c>
      <c r="AE6" s="8">
        <f t="shared" si="7"/>
        <v>12686</v>
      </c>
      <c r="AF6" s="8">
        <f t="shared" si="8"/>
        <v>25.372</v>
      </c>
      <c r="AH6" t="s">
        <v>562</v>
      </c>
      <c r="AI6" t="s">
        <v>563</v>
      </c>
      <c r="AJ6">
        <v>1703</v>
      </c>
      <c r="AK6" s="5" t="s">
        <v>562</v>
      </c>
      <c r="AL6" s="5" t="s">
        <v>563</v>
      </c>
      <c r="AM6" s="5">
        <v>4004</v>
      </c>
      <c r="AN6" s="5">
        <f t="shared" si="2"/>
        <v>1703</v>
      </c>
      <c r="AO6" s="8">
        <f t="shared" si="9"/>
        <v>2853.5</v>
      </c>
      <c r="AP6" s="8">
        <f t="shared" si="10"/>
        <v>5.7069999999999999</v>
      </c>
    </row>
    <row r="7" spans="1:42" x14ac:dyDescent="0.25">
      <c r="A7" t="s">
        <v>3</v>
      </c>
      <c r="B7" t="s">
        <v>9</v>
      </c>
      <c r="C7">
        <v>4490</v>
      </c>
      <c r="J7" s="5" t="s">
        <v>10</v>
      </c>
      <c r="K7" s="5" t="s">
        <v>11</v>
      </c>
      <c r="L7" s="5">
        <v>720</v>
      </c>
      <c r="M7" s="7">
        <f t="shared" si="0"/>
        <v>1221</v>
      </c>
      <c r="N7" s="8">
        <f t="shared" si="3"/>
        <v>970.5</v>
      </c>
      <c r="O7" s="8">
        <f t="shared" si="4"/>
        <v>1.9410000000000001</v>
      </c>
      <c r="Q7" s="5" t="s">
        <v>232</v>
      </c>
      <c r="R7" s="5" t="s">
        <v>233</v>
      </c>
      <c r="S7" s="5">
        <v>5062</v>
      </c>
      <c r="T7" s="5">
        <v>3506</v>
      </c>
      <c r="U7" s="8">
        <f t="shared" si="5"/>
        <v>4284</v>
      </c>
      <c r="V7" s="8">
        <f t="shared" si="6"/>
        <v>8.5679999999999996</v>
      </c>
      <c r="X7" t="s">
        <v>433</v>
      </c>
      <c r="Y7" t="s">
        <v>434</v>
      </c>
      <c r="Z7">
        <v>1569</v>
      </c>
      <c r="AA7" s="5" t="s">
        <v>433</v>
      </c>
      <c r="AB7" s="5" t="s">
        <v>434</v>
      </c>
      <c r="AC7" s="5">
        <v>1142</v>
      </c>
      <c r="AD7" s="5">
        <f t="shared" si="1"/>
        <v>1569</v>
      </c>
      <c r="AE7" s="8">
        <f t="shared" si="7"/>
        <v>1355.5</v>
      </c>
      <c r="AF7" s="8">
        <f t="shared" si="8"/>
        <v>2.7109999999999999</v>
      </c>
      <c r="AH7" t="s">
        <v>564</v>
      </c>
      <c r="AI7" t="s">
        <v>565</v>
      </c>
      <c r="AJ7">
        <v>3635</v>
      </c>
      <c r="AK7" s="5" t="s">
        <v>564</v>
      </c>
      <c r="AL7" s="5" t="s">
        <v>565</v>
      </c>
      <c r="AM7" s="5">
        <v>16379</v>
      </c>
      <c r="AN7" s="5">
        <f t="shared" si="2"/>
        <v>3635</v>
      </c>
      <c r="AO7" s="8">
        <f t="shared" si="9"/>
        <v>10007</v>
      </c>
      <c r="AP7" s="8">
        <f t="shared" si="10"/>
        <v>20.013999999999999</v>
      </c>
    </row>
    <row r="8" spans="1:42" x14ac:dyDescent="0.25">
      <c r="A8" t="s">
        <v>10</v>
      </c>
      <c r="B8" t="s">
        <v>11</v>
      </c>
      <c r="C8">
        <v>1221</v>
      </c>
      <c r="J8" s="5" t="s">
        <v>12</v>
      </c>
      <c r="K8" s="5" t="s">
        <v>218</v>
      </c>
      <c r="L8" s="5">
        <v>922</v>
      </c>
      <c r="M8" s="7">
        <f t="shared" si="0"/>
        <v>902</v>
      </c>
      <c r="N8" s="8">
        <f t="shared" si="3"/>
        <v>912</v>
      </c>
      <c r="O8" s="8">
        <f t="shared" si="4"/>
        <v>1.8240000000000001</v>
      </c>
      <c r="Q8" s="5" t="s">
        <v>234</v>
      </c>
      <c r="R8" s="5" t="s">
        <v>235</v>
      </c>
      <c r="S8" s="5">
        <v>7411</v>
      </c>
      <c r="T8" s="5">
        <v>7053</v>
      </c>
      <c r="U8" s="8">
        <f t="shared" si="5"/>
        <v>7232</v>
      </c>
      <c r="V8" s="8">
        <f t="shared" si="6"/>
        <v>14.464</v>
      </c>
      <c r="X8" t="s">
        <v>435</v>
      </c>
      <c r="Y8" t="s">
        <v>436</v>
      </c>
      <c r="Z8">
        <v>4790</v>
      </c>
      <c r="AA8" s="5" t="s">
        <v>435</v>
      </c>
      <c r="AB8" s="5" t="s">
        <v>436</v>
      </c>
      <c r="AC8" s="5">
        <v>7750</v>
      </c>
      <c r="AD8" s="5">
        <f t="shared" si="1"/>
        <v>4790</v>
      </c>
      <c r="AE8" s="8">
        <f t="shared" si="7"/>
        <v>6270</v>
      </c>
      <c r="AF8" s="8">
        <f t="shared" si="8"/>
        <v>12.54</v>
      </c>
      <c r="AH8" t="s">
        <v>566</v>
      </c>
      <c r="AI8" t="s">
        <v>567</v>
      </c>
      <c r="AJ8">
        <v>1</v>
      </c>
      <c r="AK8" s="5" t="s">
        <v>566</v>
      </c>
      <c r="AL8" s="5" t="s">
        <v>567</v>
      </c>
      <c r="AM8" s="5">
        <v>5583</v>
      </c>
      <c r="AN8" s="5">
        <f t="shared" si="2"/>
        <v>1</v>
      </c>
      <c r="AO8" s="8">
        <f t="shared" si="9"/>
        <v>2792</v>
      </c>
      <c r="AP8" s="8">
        <f t="shared" si="10"/>
        <v>5.5839999999999996</v>
      </c>
    </row>
    <row r="9" spans="1:42" x14ac:dyDescent="0.25">
      <c r="A9" t="s">
        <v>12</v>
      </c>
      <c r="B9" t="s">
        <v>13</v>
      </c>
      <c r="C9">
        <v>902</v>
      </c>
      <c r="J9" s="5" t="s">
        <v>14</v>
      </c>
      <c r="K9" s="5" t="s">
        <v>15</v>
      </c>
      <c r="L9" s="5">
        <v>2029</v>
      </c>
      <c r="M9" s="7">
        <f t="shared" si="0"/>
        <v>2251</v>
      </c>
      <c r="N9" s="8">
        <f t="shared" si="3"/>
        <v>2140</v>
      </c>
      <c r="O9" s="8">
        <f t="shared" si="4"/>
        <v>4.28</v>
      </c>
      <c r="Q9" s="5" t="s">
        <v>236</v>
      </c>
      <c r="R9" s="5" t="s">
        <v>237</v>
      </c>
      <c r="S9" s="5">
        <v>6086</v>
      </c>
      <c r="T9" s="5">
        <v>3698</v>
      </c>
      <c r="U9" s="8">
        <f t="shared" si="5"/>
        <v>4892</v>
      </c>
      <c r="V9" s="8">
        <f t="shared" si="6"/>
        <v>9.7840000000000007</v>
      </c>
      <c r="X9" t="s">
        <v>437</v>
      </c>
      <c r="Y9" t="s">
        <v>438</v>
      </c>
      <c r="Z9">
        <v>1125</v>
      </c>
      <c r="AA9" s="5" t="s">
        <v>437</v>
      </c>
      <c r="AB9" s="5" t="s">
        <v>438</v>
      </c>
      <c r="AC9" s="5">
        <v>549</v>
      </c>
      <c r="AD9" s="5">
        <f t="shared" si="1"/>
        <v>1125</v>
      </c>
      <c r="AE9" s="8">
        <f t="shared" si="7"/>
        <v>837</v>
      </c>
      <c r="AF9" s="8">
        <f t="shared" si="8"/>
        <v>1.6739999999999999</v>
      </c>
      <c r="AH9" t="s">
        <v>568</v>
      </c>
      <c r="AI9" t="s">
        <v>569</v>
      </c>
      <c r="AJ9">
        <v>1386</v>
      </c>
      <c r="AK9" s="5" t="s">
        <v>568</v>
      </c>
      <c r="AL9" s="5" t="s">
        <v>569</v>
      </c>
      <c r="AM9" s="5">
        <v>3941</v>
      </c>
      <c r="AN9" s="5">
        <f t="shared" si="2"/>
        <v>1386</v>
      </c>
      <c r="AO9" s="8">
        <f t="shared" si="9"/>
        <v>2663.5</v>
      </c>
      <c r="AP9" s="8">
        <f t="shared" si="10"/>
        <v>5.327</v>
      </c>
    </row>
    <row r="10" spans="1:42" x14ac:dyDescent="0.25">
      <c r="A10" t="s">
        <v>14</v>
      </c>
      <c r="B10" t="s">
        <v>15</v>
      </c>
      <c r="C10">
        <v>2251</v>
      </c>
      <c r="J10" s="5" t="s">
        <v>16</v>
      </c>
      <c r="K10" s="5" t="s">
        <v>17</v>
      </c>
      <c r="L10" s="5">
        <v>98</v>
      </c>
      <c r="M10" s="7">
        <f t="shared" si="0"/>
        <v>271</v>
      </c>
      <c r="N10" s="8">
        <f t="shared" si="3"/>
        <v>184.5</v>
      </c>
      <c r="O10" s="8">
        <f t="shared" si="4"/>
        <v>0.36899999999999999</v>
      </c>
      <c r="Q10" s="5" t="s">
        <v>238</v>
      </c>
      <c r="R10" s="5" t="s">
        <v>239</v>
      </c>
      <c r="S10" s="5">
        <v>9939</v>
      </c>
      <c r="T10" s="5">
        <v>3704</v>
      </c>
      <c r="U10" s="8">
        <f t="shared" si="5"/>
        <v>6821.5</v>
      </c>
      <c r="V10" s="8">
        <f t="shared" si="6"/>
        <v>13.643000000000001</v>
      </c>
      <c r="X10" t="s">
        <v>439</v>
      </c>
      <c r="Y10" t="s">
        <v>440</v>
      </c>
      <c r="Z10">
        <v>69</v>
      </c>
      <c r="AA10" s="5" t="s">
        <v>439</v>
      </c>
      <c r="AB10" s="5" t="s">
        <v>440</v>
      </c>
      <c r="AC10" s="5">
        <v>69</v>
      </c>
      <c r="AD10" s="5">
        <f t="shared" si="1"/>
        <v>69</v>
      </c>
      <c r="AE10" s="8">
        <f t="shared" si="7"/>
        <v>69</v>
      </c>
      <c r="AF10" s="8">
        <f t="shared" si="8"/>
        <v>0.13800000000000001</v>
      </c>
      <c r="AH10" t="s">
        <v>570</v>
      </c>
      <c r="AI10" t="s">
        <v>571</v>
      </c>
      <c r="AJ10">
        <v>3739</v>
      </c>
      <c r="AK10" s="5" t="s">
        <v>570</v>
      </c>
      <c r="AL10" s="5" t="s">
        <v>571</v>
      </c>
      <c r="AM10" s="5">
        <v>4110</v>
      </c>
      <c r="AN10" s="5">
        <f t="shared" si="2"/>
        <v>3739</v>
      </c>
      <c r="AO10" s="8">
        <f t="shared" si="9"/>
        <v>3924.5</v>
      </c>
      <c r="AP10" s="8">
        <f t="shared" si="10"/>
        <v>7.8490000000000002</v>
      </c>
    </row>
    <row r="11" spans="1:42" x14ac:dyDescent="0.25">
      <c r="A11" t="s">
        <v>16</v>
      </c>
      <c r="B11" t="s">
        <v>17</v>
      </c>
      <c r="C11">
        <v>271</v>
      </c>
      <c r="J11" s="5" t="s">
        <v>18</v>
      </c>
      <c r="K11" s="5" t="s">
        <v>19</v>
      </c>
      <c r="L11" s="5">
        <v>2356</v>
      </c>
      <c r="M11" s="7">
        <f t="shared" si="0"/>
        <v>1916</v>
      </c>
      <c r="N11" s="8">
        <f t="shared" si="3"/>
        <v>2136</v>
      </c>
      <c r="O11" s="8">
        <f t="shared" si="4"/>
        <v>4.2720000000000002</v>
      </c>
      <c r="Q11" s="5" t="s">
        <v>240</v>
      </c>
      <c r="R11" s="5" t="s">
        <v>241</v>
      </c>
      <c r="S11" s="5">
        <v>2628</v>
      </c>
      <c r="T11" s="5">
        <v>1193</v>
      </c>
      <c r="U11" s="8">
        <f t="shared" si="5"/>
        <v>1910.5</v>
      </c>
      <c r="V11" s="8">
        <f t="shared" si="6"/>
        <v>3.8210000000000002</v>
      </c>
      <c r="X11" t="s">
        <v>441</v>
      </c>
      <c r="Y11" t="s">
        <v>442</v>
      </c>
      <c r="Z11">
        <v>4648</v>
      </c>
      <c r="AA11" s="5" t="s">
        <v>441</v>
      </c>
      <c r="AB11" s="5" t="s">
        <v>442</v>
      </c>
      <c r="AC11" s="5">
        <v>20</v>
      </c>
      <c r="AD11" s="5">
        <f t="shared" si="1"/>
        <v>4648</v>
      </c>
      <c r="AE11" s="8">
        <f t="shared" si="7"/>
        <v>2334</v>
      </c>
      <c r="AF11" s="8">
        <f t="shared" si="8"/>
        <v>4.6680000000000001</v>
      </c>
      <c r="AH11" t="s">
        <v>572</v>
      </c>
      <c r="AI11" t="s">
        <v>573</v>
      </c>
      <c r="AJ11">
        <v>963</v>
      </c>
      <c r="AK11" s="5" t="s">
        <v>572</v>
      </c>
      <c r="AL11" s="5" t="s">
        <v>573</v>
      </c>
      <c r="AM11" s="5">
        <v>10072</v>
      </c>
      <c r="AN11" s="5">
        <f t="shared" si="2"/>
        <v>963</v>
      </c>
      <c r="AO11" s="8">
        <f t="shared" si="9"/>
        <v>5517.5</v>
      </c>
      <c r="AP11" s="8">
        <f t="shared" si="10"/>
        <v>11.035</v>
      </c>
    </row>
    <row r="12" spans="1:42" x14ac:dyDescent="0.25">
      <c r="A12" t="s">
        <v>18</v>
      </c>
      <c r="B12" t="s">
        <v>19</v>
      </c>
      <c r="C12">
        <v>1916</v>
      </c>
      <c r="J12" s="5" t="s">
        <v>20</v>
      </c>
      <c r="K12" s="5" t="s">
        <v>21</v>
      </c>
      <c r="L12" s="5">
        <v>1024</v>
      </c>
      <c r="M12" s="7">
        <f t="shared" si="0"/>
        <v>597</v>
      </c>
      <c r="N12" s="8">
        <f t="shared" si="3"/>
        <v>810.5</v>
      </c>
      <c r="O12" s="8">
        <f t="shared" si="4"/>
        <v>1.621</v>
      </c>
      <c r="Q12" s="5" t="s">
        <v>242</v>
      </c>
      <c r="R12" s="5" t="s">
        <v>243</v>
      </c>
      <c r="S12" s="5">
        <v>1281</v>
      </c>
      <c r="T12" s="5">
        <v>554</v>
      </c>
      <c r="U12" s="8">
        <f t="shared" si="5"/>
        <v>917.5</v>
      </c>
      <c r="V12" s="8">
        <f t="shared" si="6"/>
        <v>1.835</v>
      </c>
      <c r="X12" t="s">
        <v>443</v>
      </c>
      <c r="Y12" t="s">
        <v>444</v>
      </c>
      <c r="Z12">
        <v>498</v>
      </c>
      <c r="AA12" s="5" t="s">
        <v>443</v>
      </c>
      <c r="AB12" s="5" t="s">
        <v>444</v>
      </c>
      <c r="AC12" s="5">
        <v>1875</v>
      </c>
      <c r="AD12" s="5">
        <f t="shared" si="1"/>
        <v>498</v>
      </c>
      <c r="AE12" s="8">
        <f t="shared" si="7"/>
        <v>1186.5</v>
      </c>
      <c r="AF12" s="8">
        <f t="shared" si="8"/>
        <v>2.3730000000000002</v>
      </c>
      <c r="AH12" t="s">
        <v>574</v>
      </c>
      <c r="AI12" t="s">
        <v>575</v>
      </c>
      <c r="AJ12">
        <v>7084</v>
      </c>
      <c r="AK12" s="5" t="s">
        <v>574</v>
      </c>
      <c r="AL12" s="5" t="s">
        <v>575</v>
      </c>
      <c r="AM12" s="5">
        <v>17912</v>
      </c>
      <c r="AN12" s="5">
        <f t="shared" si="2"/>
        <v>7084</v>
      </c>
      <c r="AO12" s="8">
        <f t="shared" si="9"/>
        <v>12498</v>
      </c>
      <c r="AP12" s="8">
        <f t="shared" si="10"/>
        <v>24.995999999999999</v>
      </c>
    </row>
    <row r="13" spans="1:42" x14ac:dyDescent="0.25">
      <c r="A13" t="s">
        <v>20</v>
      </c>
      <c r="B13" t="s">
        <v>21</v>
      </c>
      <c r="C13">
        <v>597</v>
      </c>
      <c r="J13" s="5" t="s">
        <v>22</v>
      </c>
      <c r="K13" s="5" t="s">
        <v>23</v>
      </c>
      <c r="L13" s="5">
        <v>12006</v>
      </c>
      <c r="M13" s="7">
        <f t="shared" si="0"/>
        <v>10633</v>
      </c>
      <c r="N13" s="8">
        <f t="shared" si="3"/>
        <v>11319.5</v>
      </c>
      <c r="O13" s="8">
        <f t="shared" si="4"/>
        <v>22.638999999999999</v>
      </c>
      <c r="Q13" s="5" t="s">
        <v>240</v>
      </c>
      <c r="R13" s="5" t="s">
        <v>244</v>
      </c>
      <c r="S13" s="5">
        <v>3248</v>
      </c>
      <c r="T13" s="5">
        <v>1345</v>
      </c>
      <c r="U13" s="8">
        <f t="shared" si="5"/>
        <v>2296.5</v>
      </c>
      <c r="V13" s="8">
        <f t="shared" si="6"/>
        <v>4.593</v>
      </c>
      <c r="X13" t="s">
        <v>445</v>
      </c>
      <c r="Y13" t="s">
        <v>446</v>
      </c>
      <c r="Z13">
        <v>625</v>
      </c>
      <c r="AA13" s="5" t="s">
        <v>445</v>
      </c>
      <c r="AB13" s="5" t="s">
        <v>446</v>
      </c>
      <c r="AC13" s="5">
        <v>520</v>
      </c>
      <c r="AD13" s="5">
        <f t="shared" si="1"/>
        <v>625</v>
      </c>
      <c r="AE13" s="8">
        <f t="shared" si="7"/>
        <v>572.5</v>
      </c>
      <c r="AF13" s="8">
        <f t="shared" si="8"/>
        <v>1.145</v>
      </c>
      <c r="AH13" t="s">
        <v>576</v>
      </c>
      <c r="AI13" t="s">
        <v>577</v>
      </c>
      <c r="AJ13">
        <v>6275</v>
      </c>
      <c r="AK13" s="5" t="s">
        <v>576</v>
      </c>
      <c r="AL13" s="5" t="s">
        <v>577</v>
      </c>
      <c r="AM13" s="5">
        <v>7344</v>
      </c>
      <c r="AN13" s="5">
        <f t="shared" si="2"/>
        <v>6275</v>
      </c>
      <c r="AO13" s="8">
        <f t="shared" si="9"/>
        <v>6809.5</v>
      </c>
      <c r="AP13" s="8">
        <f t="shared" si="10"/>
        <v>13.619</v>
      </c>
    </row>
    <row r="14" spans="1:42" x14ac:dyDescent="0.25">
      <c r="A14" t="s">
        <v>22</v>
      </c>
      <c r="B14" t="s">
        <v>23</v>
      </c>
      <c r="C14">
        <v>10633</v>
      </c>
      <c r="J14" s="5" t="s">
        <v>24</v>
      </c>
      <c r="K14" s="5" t="s">
        <v>25</v>
      </c>
      <c r="L14" s="5">
        <v>1661</v>
      </c>
      <c r="M14" s="7">
        <f t="shared" si="0"/>
        <v>2089</v>
      </c>
      <c r="N14" s="8">
        <f t="shared" si="3"/>
        <v>1875</v>
      </c>
      <c r="O14" s="8">
        <f t="shared" si="4"/>
        <v>3.75</v>
      </c>
      <c r="Q14" s="5" t="s">
        <v>245</v>
      </c>
      <c r="R14" s="5" t="s">
        <v>246</v>
      </c>
      <c r="S14" s="5">
        <v>6214</v>
      </c>
      <c r="T14" s="5">
        <v>2336</v>
      </c>
      <c r="U14" s="8">
        <f t="shared" si="5"/>
        <v>4275</v>
      </c>
      <c r="V14" s="8">
        <f t="shared" si="6"/>
        <v>8.5500000000000007</v>
      </c>
      <c r="X14" t="s">
        <v>447</v>
      </c>
      <c r="Y14" t="s">
        <v>448</v>
      </c>
      <c r="Z14">
        <v>2454</v>
      </c>
      <c r="AA14" s="5" t="s">
        <v>447</v>
      </c>
      <c r="AB14" s="5" t="s">
        <v>448</v>
      </c>
      <c r="AC14" s="5">
        <v>2371</v>
      </c>
      <c r="AD14" s="5">
        <f t="shared" si="1"/>
        <v>2454</v>
      </c>
      <c r="AE14" s="8">
        <f t="shared" si="7"/>
        <v>2412.5</v>
      </c>
      <c r="AF14" s="8">
        <f t="shared" si="8"/>
        <v>4.8250000000000002</v>
      </c>
      <c r="AH14" t="s">
        <v>578</v>
      </c>
      <c r="AI14" t="s">
        <v>579</v>
      </c>
      <c r="AJ14">
        <v>6248</v>
      </c>
      <c r="AK14" s="5" t="s">
        <v>578</v>
      </c>
      <c r="AL14" s="5" t="s">
        <v>579</v>
      </c>
      <c r="AM14" s="5">
        <v>16107</v>
      </c>
      <c r="AN14" s="5">
        <f t="shared" si="2"/>
        <v>6248</v>
      </c>
      <c r="AO14" s="8">
        <f t="shared" si="9"/>
        <v>11177.5</v>
      </c>
      <c r="AP14" s="8">
        <f t="shared" si="10"/>
        <v>22.355</v>
      </c>
    </row>
    <row r="15" spans="1:42" x14ac:dyDescent="0.25">
      <c r="A15" t="s">
        <v>24</v>
      </c>
      <c r="B15" t="s">
        <v>25</v>
      </c>
      <c r="C15">
        <v>2089</v>
      </c>
      <c r="J15" s="5" t="s">
        <v>26</v>
      </c>
      <c r="K15" s="5" t="s">
        <v>27</v>
      </c>
      <c r="L15" s="5">
        <v>426</v>
      </c>
      <c r="M15" s="7">
        <f t="shared" si="0"/>
        <v>1060</v>
      </c>
      <c r="N15" s="8">
        <f t="shared" si="3"/>
        <v>743</v>
      </c>
      <c r="O15" s="8">
        <f t="shared" si="4"/>
        <v>1.486</v>
      </c>
      <c r="Q15" s="5" t="s">
        <v>247</v>
      </c>
      <c r="R15" s="5" t="s">
        <v>248</v>
      </c>
      <c r="S15" s="5">
        <v>6393</v>
      </c>
      <c r="T15" s="5">
        <v>5138</v>
      </c>
      <c r="U15" s="8">
        <f t="shared" si="5"/>
        <v>5765.5</v>
      </c>
      <c r="V15" s="8">
        <f t="shared" si="6"/>
        <v>11.531000000000001</v>
      </c>
      <c r="X15" t="s">
        <v>449</v>
      </c>
      <c r="Y15" t="s">
        <v>450</v>
      </c>
      <c r="Z15">
        <v>0</v>
      </c>
      <c r="AA15" s="5" t="s">
        <v>449</v>
      </c>
      <c r="AB15" s="5" t="s">
        <v>450</v>
      </c>
      <c r="AC15" s="5">
        <v>3963</v>
      </c>
      <c r="AD15" s="5">
        <f t="shared" si="1"/>
        <v>0</v>
      </c>
      <c r="AE15" s="8">
        <f t="shared" si="7"/>
        <v>1981.5</v>
      </c>
      <c r="AF15" s="8">
        <f t="shared" si="8"/>
        <v>3.9630000000000001</v>
      </c>
      <c r="AH15" t="s">
        <v>580</v>
      </c>
      <c r="AI15" t="s">
        <v>581</v>
      </c>
      <c r="AJ15">
        <v>6890</v>
      </c>
      <c r="AK15" s="5" t="s">
        <v>580</v>
      </c>
      <c r="AL15" s="5" t="s">
        <v>581</v>
      </c>
      <c r="AM15" s="5">
        <v>14530</v>
      </c>
      <c r="AN15" s="5">
        <f t="shared" si="2"/>
        <v>6890</v>
      </c>
      <c r="AO15" s="8">
        <f t="shared" si="9"/>
        <v>10710</v>
      </c>
      <c r="AP15" s="8">
        <f t="shared" si="10"/>
        <v>21.42</v>
      </c>
    </row>
    <row r="16" spans="1:42" x14ac:dyDescent="0.25">
      <c r="A16" t="s">
        <v>26</v>
      </c>
      <c r="B16" t="s">
        <v>27</v>
      </c>
      <c r="C16">
        <v>1060</v>
      </c>
      <c r="J16" s="5" t="s">
        <v>22</v>
      </c>
      <c r="K16" s="5" t="s">
        <v>28</v>
      </c>
      <c r="L16" s="5">
        <v>1166</v>
      </c>
      <c r="M16" s="7">
        <f t="shared" si="0"/>
        <v>10633</v>
      </c>
      <c r="N16" s="8">
        <f t="shared" si="3"/>
        <v>5899.5</v>
      </c>
      <c r="O16" s="8">
        <f t="shared" si="4"/>
        <v>11.798999999999999</v>
      </c>
      <c r="Q16" s="5" t="s">
        <v>249</v>
      </c>
      <c r="R16" s="5" t="s">
        <v>250</v>
      </c>
      <c r="S16" s="5">
        <v>5910</v>
      </c>
      <c r="T16" s="5">
        <v>4460</v>
      </c>
      <c r="U16" s="8">
        <f t="shared" si="5"/>
        <v>5185</v>
      </c>
      <c r="V16" s="8">
        <f t="shared" si="6"/>
        <v>10.37</v>
      </c>
      <c r="X16" t="s">
        <v>451</v>
      </c>
      <c r="Y16" t="s">
        <v>452</v>
      </c>
      <c r="Z16">
        <v>3860</v>
      </c>
      <c r="AA16" s="5" t="s">
        <v>451</v>
      </c>
      <c r="AB16" s="5" t="s">
        <v>452</v>
      </c>
      <c r="AC16" s="5">
        <v>2974</v>
      </c>
      <c r="AD16" s="5">
        <f t="shared" si="1"/>
        <v>3860</v>
      </c>
      <c r="AE16" s="8">
        <f t="shared" si="7"/>
        <v>3417</v>
      </c>
      <c r="AF16" s="8">
        <f t="shared" si="8"/>
        <v>6.8339999999999996</v>
      </c>
      <c r="AH16" t="s">
        <v>582</v>
      </c>
      <c r="AI16" t="s">
        <v>583</v>
      </c>
      <c r="AJ16">
        <v>1797</v>
      </c>
      <c r="AK16" s="5" t="s">
        <v>582</v>
      </c>
      <c r="AL16" s="5" t="s">
        <v>583</v>
      </c>
      <c r="AM16" s="5">
        <v>8242</v>
      </c>
      <c r="AN16" s="5">
        <f t="shared" si="2"/>
        <v>1797</v>
      </c>
      <c r="AO16" s="8">
        <f t="shared" si="9"/>
        <v>5019.5</v>
      </c>
      <c r="AP16" s="8">
        <f t="shared" si="10"/>
        <v>10.039</v>
      </c>
    </row>
    <row r="17" spans="1:42" x14ac:dyDescent="0.25">
      <c r="A17" t="s">
        <v>22</v>
      </c>
      <c r="B17" t="s">
        <v>28</v>
      </c>
      <c r="C17">
        <v>738</v>
      </c>
      <c r="J17" s="5" t="s">
        <v>29</v>
      </c>
      <c r="K17" s="5" t="s">
        <v>30</v>
      </c>
      <c r="L17" s="5">
        <v>1583</v>
      </c>
      <c r="M17" s="7">
        <f t="shared" si="0"/>
        <v>758</v>
      </c>
      <c r="N17" s="8">
        <f t="shared" si="3"/>
        <v>1170.5</v>
      </c>
      <c r="O17" s="8">
        <f t="shared" si="4"/>
        <v>2.3410000000000002</v>
      </c>
      <c r="Q17" s="5" t="s">
        <v>251</v>
      </c>
      <c r="R17" s="5" t="s">
        <v>252</v>
      </c>
      <c r="S17" s="5">
        <v>7879</v>
      </c>
      <c r="T17" s="5">
        <v>5119</v>
      </c>
      <c r="U17" s="8">
        <f t="shared" si="5"/>
        <v>6499</v>
      </c>
      <c r="V17" s="8">
        <f t="shared" si="6"/>
        <v>12.997999999999999</v>
      </c>
      <c r="X17" t="s">
        <v>453</v>
      </c>
      <c r="Y17" t="s">
        <v>454</v>
      </c>
      <c r="Z17">
        <v>7762</v>
      </c>
      <c r="AA17" s="5" t="s">
        <v>453</v>
      </c>
      <c r="AB17" s="5" t="s">
        <v>454</v>
      </c>
      <c r="AC17" s="5">
        <v>16748</v>
      </c>
      <c r="AD17" s="5">
        <f t="shared" si="1"/>
        <v>7762</v>
      </c>
      <c r="AE17" s="8">
        <f t="shared" si="7"/>
        <v>12255</v>
      </c>
      <c r="AF17" s="8">
        <f t="shared" si="8"/>
        <v>24.51</v>
      </c>
      <c r="AH17" t="s">
        <v>584</v>
      </c>
      <c r="AI17" t="s">
        <v>585</v>
      </c>
      <c r="AJ17">
        <v>5084</v>
      </c>
      <c r="AK17" s="5" t="s">
        <v>584</v>
      </c>
      <c r="AL17" s="5" t="s">
        <v>585</v>
      </c>
      <c r="AM17" s="5">
        <v>17453</v>
      </c>
      <c r="AN17" s="5">
        <f t="shared" si="2"/>
        <v>5084</v>
      </c>
      <c r="AO17" s="8">
        <f t="shared" si="9"/>
        <v>11268.5</v>
      </c>
      <c r="AP17" s="8">
        <f t="shared" si="10"/>
        <v>22.536999999999999</v>
      </c>
    </row>
    <row r="18" spans="1:42" x14ac:dyDescent="0.25">
      <c r="A18" t="s">
        <v>29</v>
      </c>
      <c r="B18" t="s">
        <v>30</v>
      </c>
      <c r="C18">
        <v>758</v>
      </c>
      <c r="J18" s="5" t="s">
        <v>31</v>
      </c>
      <c r="K18" s="5" t="s">
        <v>32</v>
      </c>
      <c r="L18" s="5">
        <v>1555</v>
      </c>
      <c r="M18" s="7">
        <f t="shared" si="0"/>
        <v>2895</v>
      </c>
      <c r="N18" s="8">
        <f t="shared" si="3"/>
        <v>2225</v>
      </c>
      <c r="O18" s="8">
        <f t="shared" si="4"/>
        <v>4.45</v>
      </c>
      <c r="Q18" s="5" t="s">
        <v>253</v>
      </c>
      <c r="R18" s="5" t="s">
        <v>254</v>
      </c>
      <c r="S18" s="5">
        <v>634</v>
      </c>
      <c r="T18" s="5">
        <v>1144</v>
      </c>
      <c r="U18" s="8">
        <f t="shared" si="5"/>
        <v>889</v>
      </c>
      <c r="V18" s="8">
        <f t="shared" si="6"/>
        <v>1.778</v>
      </c>
      <c r="X18" t="s">
        <v>453</v>
      </c>
      <c r="Y18" t="s">
        <v>455</v>
      </c>
      <c r="Z18">
        <v>5882</v>
      </c>
      <c r="AA18" s="5" t="s">
        <v>453</v>
      </c>
      <c r="AB18" s="5" t="s">
        <v>455</v>
      </c>
      <c r="AC18" s="5">
        <v>14024</v>
      </c>
      <c r="AD18" s="5">
        <f t="shared" si="1"/>
        <v>7762</v>
      </c>
      <c r="AE18" s="8">
        <f t="shared" si="7"/>
        <v>10893</v>
      </c>
      <c r="AF18" s="8">
        <f t="shared" si="8"/>
        <v>21.786000000000001</v>
      </c>
      <c r="AH18" t="s">
        <v>586</v>
      </c>
      <c r="AI18" t="s">
        <v>587</v>
      </c>
      <c r="AJ18">
        <v>1762</v>
      </c>
      <c r="AK18" s="5" t="s">
        <v>586</v>
      </c>
      <c r="AL18" s="5" t="s">
        <v>587</v>
      </c>
      <c r="AM18" s="5">
        <v>5363</v>
      </c>
      <c r="AN18" s="5">
        <f t="shared" si="2"/>
        <v>1762</v>
      </c>
      <c r="AO18" s="8">
        <f t="shared" si="9"/>
        <v>3562.5</v>
      </c>
      <c r="AP18" s="8">
        <f t="shared" si="10"/>
        <v>7.125</v>
      </c>
    </row>
    <row r="19" spans="1:42" x14ac:dyDescent="0.25">
      <c r="A19" t="s">
        <v>31</v>
      </c>
      <c r="B19" t="s">
        <v>32</v>
      </c>
      <c r="C19">
        <v>2895</v>
      </c>
      <c r="J19" s="5" t="s">
        <v>33</v>
      </c>
      <c r="K19" s="5" t="s">
        <v>34</v>
      </c>
      <c r="L19" s="5">
        <v>1256</v>
      </c>
      <c r="M19" s="7">
        <f t="shared" si="0"/>
        <v>1219</v>
      </c>
      <c r="N19" s="8">
        <f t="shared" si="3"/>
        <v>1237.5</v>
      </c>
      <c r="O19" s="8">
        <f t="shared" si="4"/>
        <v>2.4750000000000001</v>
      </c>
      <c r="Q19" s="5" t="s">
        <v>255</v>
      </c>
      <c r="R19" s="5" t="s">
        <v>256</v>
      </c>
      <c r="S19" s="5">
        <v>3635</v>
      </c>
      <c r="T19" s="5">
        <v>1932</v>
      </c>
      <c r="U19" s="8">
        <f t="shared" si="5"/>
        <v>2783.5</v>
      </c>
      <c r="V19" s="8">
        <f t="shared" si="6"/>
        <v>5.5670000000000002</v>
      </c>
      <c r="X19" t="s">
        <v>456</v>
      </c>
      <c r="Y19" t="s">
        <v>457</v>
      </c>
      <c r="Z19">
        <v>22772</v>
      </c>
      <c r="AA19" s="5" t="s">
        <v>458</v>
      </c>
      <c r="AB19" s="5" t="s">
        <v>459</v>
      </c>
      <c r="AC19" s="5">
        <v>20477</v>
      </c>
      <c r="AD19" s="5">
        <f t="shared" si="1"/>
        <v>11268</v>
      </c>
      <c r="AE19" s="8">
        <f t="shared" si="7"/>
        <v>15872.5</v>
      </c>
      <c r="AF19" s="8">
        <f t="shared" si="8"/>
        <v>31.745000000000001</v>
      </c>
      <c r="AH19" t="s">
        <v>588</v>
      </c>
      <c r="AI19" t="s">
        <v>589</v>
      </c>
      <c r="AJ19">
        <v>9740</v>
      </c>
      <c r="AK19" s="5" t="s">
        <v>588</v>
      </c>
      <c r="AL19" s="5" t="s">
        <v>589</v>
      </c>
      <c r="AM19" s="5">
        <v>20563</v>
      </c>
      <c r="AN19" s="5">
        <f t="shared" si="2"/>
        <v>9740</v>
      </c>
      <c r="AO19" s="8">
        <f t="shared" si="9"/>
        <v>15151.5</v>
      </c>
      <c r="AP19" s="8">
        <f t="shared" si="10"/>
        <v>30.303000000000001</v>
      </c>
    </row>
    <row r="20" spans="1:42" x14ac:dyDescent="0.25">
      <c r="A20" t="s">
        <v>33</v>
      </c>
      <c r="B20" t="s">
        <v>34</v>
      </c>
      <c r="C20">
        <v>1219</v>
      </c>
      <c r="J20" s="5" t="s">
        <v>35</v>
      </c>
      <c r="K20" s="5" t="s">
        <v>36</v>
      </c>
      <c r="L20" s="5">
        <v>6171</v>
      </c>
      <c r="M20" s="7">
        <f t="shared" si="0"/>
        <v>497</v>
      </c>
      <c r="N20" s="8">
        <f t="shared" si="3"/>
        <v>3334</v>
      </c>
      <c r="O20" s="8">
        <f t="shared" si="4"/>
        <v>6.6680000000000001</v>
      </c>
      <c r="Q20" s="5" t="s">
        <v>257</v>
      </c>
      <c r="R20" s="5" t="s">
        <v>258</v>
      </c>
      <c r="S20" s="5">
        <v>7553</v>
      </c>
      <c r="T20" s="5">
        <v>2993</v>
      </c>
      <c r="U20" s="8">
        <f t="shared" si="5"/>
        <v>5273</v>
      </c>
      <c r="V20" s="8">
        <f t="shared" si="6"/>
        <v>10.545999999999999</v>
      </c>
      <c r="X20" t="s">
        <v>458</v>
      </c>
      <c r="Y20" t="s">
        <v>459</v>
      </c>
      <c r="Z20">
        <v>11268</v>
      </c>
      <c r="AA20" s="5" t="s">
        <v>460</v>
      </c>
      <c r="AB20" s="5" t="s">
        <v>461</v>
      </c>
      <c r="AC20" s="5">
        <v>17144</v>
      </c>
      <c r="AD20" s="5">
        <f t="shared" si="1"/>
        <v>13658</v>
      </c>
      <c r="AE20" s="8">
        <f t="shared" si="7"/>
        <v>15401</v>
      </c>
      <c r="AF20" s="8">
        <f t="shared" si="8"/>
        <v>30.802</v>
      </c>
      <c r="AH20" t="s">
        <v>590</v>
      </c>
      <c r="AI20" t="s">
        <v>591</v>
      </c>
      <c r="AJ20">
        <v>2653</v>
      </c>
      <c r="AK20" s="5" t="s">
        <v>590</v>
      </c>
      <c r="AL20" s="5" t="s">
        <v>591</v>
      </c>
      <c r="AM20" s="5">
        <v>3485</v>
      </c>
      <c r="AN20" s="5">
        <f t="shared" si="2"/>
        <v>2653</v>
      </c>
      <c r="AO20" s="8">
        <f t="shared" si="9"/>
        <v>3069</v>
      </c>
      <c r="AP20" s="8">
        <f t="shared" si="10"/>
        <v>6.1379999999999999</v>
      </c>
    </row>
    <row r="21" spans="1:42" x14ac:dyDescent="0.25">
      <c r="A21" t="s">
        <v>35</v>
      </c>
      <c r="B21" t="s">
        <v>36</v>
      </c>
      <c r="C21">
        <v>497</v>
      </c>
      <c r="J21" s="5" t="s">
        <v>35</v>
      </c>
      <c r="K21" s="5" t="s">
        <v>37</v>
      </c>
      <c r="L21" s="5">
        <v>0</v>
      </c>
      <c r="M21" s="7">
        <f t="shared" si="0"/>
        <v>497</v>
      </c>
      <c r="N21" s="8">
        <f t="shared" si="3"/>
        <v>248.5</v>
      </c>
      <c r="O21" s="8">
        <f t="shared" si="4"/>
        <v>0.497</v>
      </c>
      <c r="Q21" s="5" t="s">
        <v>259</v>
      </c>
      <c r="R21" s="5" t="s">
        <v>260</v>
      </c>
      <c r="S21" s="5">
        <v>3495</v>
      </c>
      <c r="T21" s="5">
        <v>2145</v>
      </c>
      <c r="U21" s="8">
        <f t="shared" si="5"/>
        <v>2820</v>
      </c>
      <c r="V21" s="8">
        <f t="shared" si="6"/>
        <v>5.64</v>
      </c>
      <c r="X21" t="s">
        <v>460</v>
      </c>
      <c r="Y21" t="s">
        <v>461</v>
      </c>
      <c r="Z21">
        <v>13658</v>
      </c>
      <c r="AA21" s="5" t="s">
        <v>462</v>
      </c>
      <c r="AB21" s="5" t="s">
        <v>463</v>
      </c>
      <c r="AC21" s="5">
        <v>26017</v>
      </c>
      <c r="AD21" s="5">
        <f t="shared" si="1"/>
        <v>16111</v>
      </c>
      <c r="AE21" s="8">
        <f t="shared" si="7"/>
        <v>21064</v>
      </c>
      <c r="AF21" s="8">
        <f t="shared" si="8"/>
        <v>42.128</v>
      </c>
      <c r="AH21" t="s">
        <v>592</v>
      </c>
      <c r="AI21" t="s">
        <v>593</v>
      </c>
      <c r="AJ21">
        <v>0</v>
      </c>
      <c r="AK21" s="5" t="s">
        <v>594</v>
      </c>
      <c r="AL21" s="5" t="s">
        <v>595</v>
      </c>
      <c r="AM21" s="5">
        <v>13120</v>
      </c>
      <c r="AN21" s="5">
        <f t="shared" si="2"/>
        <v>1900</v>
      </c>
      <c r="AO21" s="8">
        <f t="shared" si="9"/>
        <v>7510</v>
      </c>
      <c r="AP21" s="8">
        <f t="shared" si="10"/>
        <v>15.02</v>
      </c>
    </row>
    <row r="22" spans="1:42" x14ac:dyDescent="0.25">
      <c r="A22" t="s">
        <v>35</v>
      </c>
      <c r="B22" t="s">
        <v>37</v>
      </c>
      <c r="C22">
        <v>1153</v>
      </c>
      <c r="J22" s="5" t="s">
        <v>38</v>
      </c>
      <c r="K22" s="5" t="s">
        <v>39</v>
      </c>
      <c r="L22" s="5">
        <v>12234</v>
      </c>
      <c r="M22" s="7">
        <f t="shared" si="0"/>
        <v>6956</v>
      </c>
      <c r="N22" s="8">
        <f t="shared" si="3"/>
        <v>9595</v>
      </c>
      <c r="O22" s="8">
        <f t="shared" si="4"/>
        <v>19.190000000000001</v>
      </c>
      <c r="Q22" s="5" t="s">
        <v>261</v>
      </c>
      <c r="R22" s="5" t="s">
        <v>262</v>
      </c>
      <c r="S22" s="5">
        <v>4896</v>
      </c>
      <c r="T22" s="5">
        <v>3138</v>
      </c>
      <c r="U22" s="8">
        <f t="shared" si="5"/>
        <v>4017</v>
      </c>
      <c r="V22" s="8">
        <f t="shared" si="6"/>
        <v>8.0340000000000007</v>
      </c>
      <c r="X22" t="s">
        <v>462</v>
      </c>
      <c r="Y22" t="s">
        <v>463</v>
      </c>
      <c r="Z22">
        <v>16111</v>
      </c>
      <c r="AA22" s="5" t="s">
        <v>464</v>
      </c>
      <c r="AB22" s="5" t="s">
        <v>554</v>
      </c>
      <c r="AC22" s="5">
        <v>0</v>
      </c>
      <c r="AD22" s="5">
        <f t="shared" si="1"/>
        <v>24803</v>
      </c>
      <c r="AE22" s="8">
        <f t="shared" si="7"/>
        <v>12401.5</v>
      </c>
      <c r="AF22" s="8">
        <f t="shared" si="8"/>
        <v>24.803000000000001</v>
      </c>
      <c r="AH22" t="s">
        <v>594</v>
      </c>
      <c r="AI22" t="s">
        <v>595</v>
      </c>
      <c r="AJ22">
        <v>1900</v>
      </c>
      <c r="AK22" s="5" t="s">
        <v>596</v>
      </c>
      <c r="AL22" s="5" t="s">
        <v>597</v>
      </c>
      <c r="AM22" s="5">
        <v>10306</v>
      </c>
      <c r="AN22" s="5">
        <f t="shared" si="2"/>
        <v>5994</v>
      </c>
      <c r="AO22" s="8">
        <f t="shared" si="9"/>
        <v>8150</v>
      </c>
      <c r="AP22" s="8">
        <f t="shared" si="10"/>
        <v>16.3</v>
      </c>
    </row>
    <row r="23" spans="1:42" x14ac:dyDescent="0.25">
      <c r="A23" t="s">
        <v>38</v>
      </c>
      <c r="B23" t="s">
        <v>39</v>
      </c>
      <c r="C23">
        <v>6956</v>
      </c>
      <c r="J23" s="5" t="s">
        <v>42</v>
      </c>
      <c r="K23" s="5" t="s">
        <v>43</v>
      </c>
      <c r="L23" s="5">
        <v>1003</v>
      </c>
      <c r="M23" s="7">
        <f t="shared" si="0"/>
        <v>2005</v>
      </c>
      <c r="N23" s="8">
        <f t="shared" si="3"/>
        <v>1504</v>
      </c>
      <c r="O23" s="8">
        <f t="shared" si="4"/>
        <v>3.008</v>
      </c>
      <c r="Q23" s="5" t="s">
        <v>263</v>
      </c>
      <c r="R23" s="5" t="s">
        <v>264</v>
      </c>
      <c r="S23" s="5">
        <v>22172</v>
      </c>
      <c r="T23" s="5">
        <v>11347</v>
      </c>
      <c r="U23" s="8">
        <f t="shared" si="5"/>
        <v>16759.5</v>
      </c>
      <c r="V23" s="8">
        <f t="shared" si="6"/>
        <v>33.518999999999998</v>
      </c>
      <c r="X23" t="s">
        <v>464</v>
      </c>
      <c r="Y23" t="s">
        <v>465</v>
      </c>
      <c r="Z23">
        <v>24803</v>
      </c>
      <c r="AA23" s="5" t="s">
        <v>466</v>
      </c>
      <c r="AB23" s="5" t="s">
        <v>467</v>
      </c>
      <c r="AC23" s="5">
        <v>18345</v>
      </c>
      <c r="AD23" s="5">
        <f t="shared" si="1"/>
        <v>0</v>
      </c>
      <c r="AE23" s="8">
        <f t="shared" si="7"/>
        <v>9172.5</v>
      </c>
      <c r="AF23" s="8">
        <f t="shared" si="8"/>
        <v>18.344999999999999</v>
      </c>
      <c r="AH23" t="s">
        <v>596</v>
      </c>
      <c r="AI23" t="s">
        <v>597</v>
      </c>
      <c r="AJ23">
        <v>5994</v>
      </c>
      <c r="AK23" s="5" t="s">
        <v>598</v>
      </c>
      <c r="AL23" s="5" t="s">
        <v>599</v>
      </c>
      <c r="AM23" s="5">
        <v>3627</v>
      </c>
      <c r="AN23" s="5">
        <f t="shared" si="2"/>
        <v>1421</v>
      </c>
      <c r="AO23" s="8">
        <f t="shared" si="9"/>
        <v>2524</v>
      </c>
      <c r="AP23" s="8">
        <f t="shared" si="10"/>
        <v>5.048</v>
      </c>
    </row>
    <row r="24" spans="1:42" x14ac:dyDescent="0.25">
      <c r="A24" t="s">
        <v>40</v>
      </c>
      <c r="B24" t="s">
        <v>41</v>
      </c>
      <c r="C24">
        <v>10623</v>
      </c>
      <c r="J24" s="5" t="s">
        <v>44</v>
      </c>
      <c r="K24" s="5" t="s">
        <v>45</v>
      </c>
      <c r="L24" s="5">
        <v>1270</v>
      </c>
      <c r="M24" s="7">
        <f t="shared" si="0"/>
        <v>1360</v>
      </c>
      <c r="N24" s="8">
        <f t="shared" si="3"/>
        <v>1315</v>
      </c>
      <c r="O24" s="8">
        <f t="shared" si="4"/>
        <v>2.63</v>
      </c>
      <c r="Q24" s="5" t="s">
        <v>265</v>
      </c>
      <c r="R24" s="5" t="s">
        <v>266</v>
      </c>
      <c r="S24" s="5">
        <v>8966</v>
      </c>
      <c r="T24" s="5">
        <v>7753</v>
      </c>
      <c r="U24" s="8">
        <f t="shared" si="5"/>
        <v>8359.5</v>
      </c>
      <c r="V24" s="8">
        <f t="shared" si="6"/>
        <v>16.719000000000001</v>
      </c>
      <c r="X24" t="s">
        <v>466</v>
      </c>
      <c r="Y24" t="s">
        <v>467</v>
      </c>
      <c r="Z24">
        <v>0</v>
      </c>
      <c r="AA24" s="5" t="s">
        <v>468</v>
      </c>
      <c r="AB24" s="5" t="s">
        <v>469</v>
      </c>
      <c r="AC24" s="5">
        <v>28530</v>
      </c>
      <c r="AD24" s="5">
        <f t="shared" si="1"/>
        <v>11298</v>
      </c>
      <c r="AE24" s="8">
        <f t="shared" si="7"/>
        <v>19914</v>
      </c>
      <c r="AF24" s="8">
        <f t="shared" si="8"/>
        <v>39.828000000000003</v>
      </c>
      <c r="AH24" t="s">
        <v>598</v>
      </c>
      <c r="AI24" t="s">
        <v>599</v>
      </c>
      <c r="AJ24">
        <v>1421</v>
      </c>
      <c r="AK24" s="5" t="s">
        <v>600</v>
      </c>
      <c r="AL24" s="5" t="s">
        <v>601</v>
      </c>
      <c r="AM24" s="5">
        <v>18818</v>
      </c>
      <c r="AN24" s="5">
        <f t="shared" si="2"/>
        <v>19582</v>
      </c>
      <c r="AO24" s="8">
        <f t="shared" si="9"/>
        <v>19200</v>
      </c>
      <c r="AP24" s="8">
        <f t="shared" si="10"/>
        <v>38.4</v>
      </c>
    </row>
    <row r="25" spans="1:42" x14ac:dyDescent="0.25">
      <c r="A25" t="s">
        <v>42</v>
      </c>
      <c r="B25" t="s">
        <v>43</v>
      </c>
      <c r="C25">
        <v>2005</v>
      </c>
      <c r="J25" s="5" t="s">
        <v>46</v>
      </c>
      <c r="K25" s="5" t="s">
        <v>47</v>
      </c>
      <c r="L25" s="5">
        <v>523</v>
      </c>
      <c r="M25" s="7">
        <f t="shared" si="0"/>
        <v>505</v>
      </c>
      <c r="N25" s="8">
        <f t="shared" si="3"/>
        <v>514</v>
      </c>
      <c r="O25" s="8">
        <f t="shared" si="4"/>
        <v>1.028</v>
      </c>
      <c r="Q25" s="5" t="s">
        <v>267</v>
      </c>
      <c r="R25" s="5" t="s">
        <v>268</v>
      </c>
      <c r="S25" s="5">
        <v>21363</v>
      </c>
      <c r="T25" s="5">
        <v>1214</v>
      </c>
      <c r="U25" s="8">
        <f t="shared" si="5"/>
        <v>11288.5</v>
      </c>
      <c r="V25" s="8">
        <f t="shared" si="6"/>
        <v>22.577000000000002</v>
      </c>
      <c r="X25" t="s">
        <v>468</v>
      </c>
      <c r="Y25" t="s">
        <v>469</v>
      </c>
      <c r="Z25">
        <v>11298</v>
      </c>
      <c r="AA25" s="5" t="s">
        <v>470</v>
      </c>
      <c r="AB25" s="5" t="s">
        <v>471</v>
      </c>
      <c r="AC25" s="5">
        <v>40269</v>
      </c>
      <c r="AD25" s="5">
        <f t="shared" si="1"/>
        <v>23313</v>
      </c>
      <c r="AE25" s="8">
        <f t="shared" si="7"/>
        <v>31791</v>
      </c>
      <c r="AF25" s="8">
        <f t="shared" si="8"/>
        <v>63.582000000000001</v>
      </c>
      <c r="AH25" t="s">
        <v>600</v>
      </c>
      <c r="AI25" t="s">
        <v>601</v>
      </c>
      <c r="AJ25">
        <v>19582</v>
      </c>
      <c r="AK25" s="5" t="s">
        <v>602</v>
      </c>
      <c r="AL25" s="5" t="s">
        <v>603</v>
      </c>
      <c r="AM25" s="5">
        <v>2243</v>
      </c>
      <c r="AN25" s="5">
        <f t="shared" si="2"/>
        <v>5536</v>
      </c>
      <c r="AO25" s="8">
        <f t="shared" si="9"/>
        <v>3889.5</v>
      </c>
      <c r="AP25" s="8">
        <f t="shared" si="10"/>
        <v>7.7789999999999999</v>
      </c>
    </row>
    <row r="26" spans="1:42" x14ac:dyDescent="0.25">
      <c r="A26" t="s">
        <v>44</v>
      </c>
      <c r="B26" t="s">
        <v>45</v>
      </c>
      <c r="C26">
        <v>1360</v>
      </c>
      <c r="J26" s="5" t="s">
        <v>48</v>
      </c>
      <c r="K26" s="5" t="s">
        <v>49</v>
      </c>
      <c r="L26" s="5">
        <v>1350</v>
      </c>
      <c r="M26" s="7">
        <f t="shared" si="0"/>
        <v>1332</v>
      </c>
      <c r="N26" s="8">
        <f t="shared" si="3"/>
        <v>1341</v>
      </c>
      <c r="O26" s="8">
        <f t="shared" si="4"/>
        <v>2.6819999999999999</v>
      </c>
      <c r="Q26" s="5" t="s">
        <v>269</v>
      </c>
      <c r="R26" s="5" t="s">
        <v>270</v>
      </c>
      <c r="S26" s="5">
        <v>0</v>
      </c>
      <c r="T26" s="5">
        <v>8923</v>
      </c>
      <c r="U26" s="8">
        <f t="shared" si="5"/>
        <v>4461.5</v>
      </c>
      <c r="V26" s="8">
        <f t="shared" si="6"/>
        <v>8.923</v>
      </c>
      <c r="X26" t="s">
        <v>470</v>
      </c>
      <c r="Y26" t="s">
        <v>471</v>
      </c>
      <c r="Z26">
        <v>23313</v>
      </c>
      <c r="AA26" s="5" t="s">
        <v>472</v>
      </c>
      <c r="AB26" s="5" t="s">
        <v>473</v>
      </c>
      <c r="AC26" s="5">
        <v>26625</v>
      </c>
      <c r="AD26" s="5">
        <f t="shared" si="1"/>
        <v>15691</v>
      </c>
      <c r="AE26" s="8">
        <f t="shared" si="7"/>
        <v>21158</v>
      </c>
      <c r="AF26" s="8">
        <f t="shared" si="8"/>
        <v>42.316000000000003</v>
      </c>
      <c r="AH26" t="s">
        <v>602</v>
      </c>
      <c r="AI26" t="s">
        <v>603</v>
      </c>
      <c r="AJ26">
        <v>5536</v>
      </c>
      <c r="AK26" s="5" t="s">
        <v>602</v>
      </c>
      <c r="AL26" s="5" t="s">
        <v>457</v>
      </c>
      <c r="AM26" s="5">
        <v>2709</v>
      </c>
      <c r="AN26" s="5">
        <f t="shared" si="2"/>
        <v>5536</v>
      </c>
      <c r="AO26" s="8">
        <f t="shared" si="9"/>
        <v>4122.5</v>
      </c>
      <c r="AP26" s="8">
        <f t="shared" si="10"/>
        <v>8.2449999999999992</v>
      </c>
    </row>
    <row r="27" spans="1:42" x14ac:dyDescent="0.25">
      <c r="A27" t="s">
        <v>46</v>
      </c>
      <c r="B27" t="s">
        <v>47</v>
      </c>
      <c r="C27">
        <v>505</v>
      </c>
      <c r="J27" s="5" t="s">
        <v>5</v>
      </c>
      <c r="K27" s="5" t="s">
        <v>50</v>
      </c>
      <c r="L27" s="5">
        <v>6772</v>
      </c>
      <c r="M27" s="7">
        <f t="shared" si="0"/>
        <v>6625</v>
      </c>
      <c r="N27" s="8">
        <f t="shared" si="3"/>
        <v>6698.5</v>
      </c>
      <c r="O27" s="8">
        <f t="shared" si="4"/>
        <v>13.397</v>
      </c>
      <c r="Q27" s="5" t="s">
        <v>271</v>
      </c>
      <c r="R27" s="5" t="s">
        <v>272</v>
      </c>
      <c r="S27" s="5">
        <v>6849</v>
      </c>
      <c r="T27" s="5">
        <v>4085</v>
      </c>
      <c r="U27" s="8">
        <f t="shared" si="5"/>
        <v>5467</v>
      </c>
      <c r="V27" s="8">
        <f t="shared" si="6"/>
        <v>10.933999999999999</v>
      </c>
      <c r="X27" t="s">
        <v>472</v>
      </c>
      <c r="Y27" t="s">
        <v>473</v>
      </c>
      <c r="Z27">
        <v>15691</v>
      </c>
      <c r="AA27" s="5" t="s">
        <v>474</v>
      </c>
      <c r="AB27" s="5" t="s">
        <v>475</v>
      </c>
      <c r="AC27" s="5">
        <v>13269</v>
      </c>
      <c r="AD27" s="5">
        <f t="shared" si="1"/>
        <v>15301</v>
      </c>
      <c r="AE27" s="8">
        <f t="shared" si="7"/>
        <v>14285</v>
      </c>
      <c r="AF27" s="8">
        <f t="shared" si="8"/>
        <v>28.57</v>
      </c>
      <c r="AH27" t="s">
        <v>604</v>
      </c>
      <c r="AI27" t="s">
        <v>605</v>
      </c>
      <c r="AJ27">
        <v>12539</v>
      </c>
      <c r="AK27" s="5" t="s">
        <v>604</v>
      </c>
      <c r="AL27" s="5" t="s">
        <v>605</v>
      </c>
      <c r="AM27" s="5">
        <v>12181</v>
      </c>
      <c r="AN27" s="5">
        <f t="shared" si="2"/>
        <v>12539</v>
      </c>
      <c r="AO27" s="8">
        <f t="shared" si="9"/>
        <v>12360</v>
      </c>
      <c r="AP27" s="8">
        <f t="shared" si="10"/>
        <v>24.72</v>
      </c>
    </row>
    <row r="28" spans="1:42" x14ac:dyDescent="0.25">
      <c r="A28" t="s">
        <v>48</v>
      </c>
      <c r="B28" t="s">
        <v>49</v>
      </c>
      <c r="C28">
        <v>1332</v>
      </c>
      <c r="J28" s="5" t="s">
        <v>51</v>
      </c>
      <c r="K28" s="5" t="s">
        <v>52</v>
      </c>
      <c r="L28" s="5">
        <v>9870</v>
      </c>
      <c r="M28" s="7">
        <f t="shared" si="0"/>
        <v>7334</v>
      </c>
      <c r="N28" s="8">
        <f t="shared" si="3"/>
        <v>8602</v>
      </c>
      <c r="O28" s="8">
        <f t="shared" si="4"/>
        <v>17.204000000000001</v>
      </c>
      <c r="Q28" s="5" t="s">
        <v>273</v>
      </c>
      <c r="R28" s="5" t="s">
        <v>274</v>
      </c>
      <c r="S28" s="5">
        <v>14656</v>
      </c>
      <c r="T28" s="5">
        <v>8080</v>
      </c>
      <c r="U28" s="8">
        <f t="shared" si="5"/>
        <v>11368</v>
      </c>
      <c r="V28" s="8">
        <f t="shared" si="6"/>
        <v>22.736000000000001</v>
      </c>
      <c r="X28" t="s">
        <v>474</v>
      </c>
      <c r="Y28" t="s">
        <v>475</v>
      </c>
      <c r="Z28">
        <v>15301</v>
      </c>
      <c r="AA28" s="5" t="s">
        <v>476</v>
      </c>
      <c r="AB28" s="5" t="s">
        <v>477</v>
      </c>
      <c r="AC28" s="5">
        <v>16462</v>
      </c>
      <c r="AD28" s="5">
        <f t="shared" si="1"/>
        <v>7895</v>
      </c>
      <c r="AE28" s="8">
        <f t="shared" si="7"/>
        <v>12178.5</v>
      </c>
      <c r="AF28" s="8">
        <f t="shared" si="8"/>
        <v>24.356999999999999</v>
      </c>
      <c r="AH28" t="s">
        <v>606</v>
      </c>
      <c r="AI28" t="s">
        <v>607</v>
      </c>
      <c r="AJ28">
        <v>1000</v>
      </c>
      <c r="AK28" s="5" t="s">
        <v>606</v>
      </c>
      <c r="AL28" s="5" t="s">
        <v>607</v>
      </c>
      <c r="AM28" s="5">
        <v>9410</v>
      </c>
      <c r="AN28" s="5">
        <f t="shared" si="2"/>
        <v>1000</v>
      </c>
      <c r="AO28" s="8">
        <f t="shared" si="9"/>
        <v>5205</v>
      </c>
      <c r="AP28" s="8">
        <f t="shared" si="10"/>
        <v>10.41</v>
      </c>
    </row>
    <row r="29" spans="1:42" x14ac:dyDescent="0.25">
      <c r="A29" t="s">
        <v>5</v>
      </c>
      <c r="B29" t="s">
        <v>50</v>
      </c>
      <c r="C29">
        <v>5468</v>
      </c>
      <c r="J29" s="5" t="s">
        <v>53</v>
      </c>
      <c r="K29" s="5" t="s">
        <v>54</v>
      </c>
      <c r="L29" s="5">
        <v>1676</v>
      </c>
      <c r="M29" s="7">
        <f t="shared" si="0"/>
        <v>2209</v>
      </c>
      <c r="N29" s="8">
        <f t="shared" si="3"/>
        <v>1942.5</v>
      </c>
      <c r="O29" s="8">
        <f t="shared" si="4"/>
        <v>3.8849999999999998</v>
      </c>
      <c r="Q29" s="5" t="s">
        <v>275</v>
      </c>
      <c r="R29" s="5" t="s">
        <v>276</v>
      </c>
      <c r="S29" s="5">
        <v>15722</v>
      </c>
      <c r="T29" s="5">
        <v>168</v>
      </c>
      <c r="U29" s="8">
        <f t="shared" si="5"/>
        <v>7945</v>
      </c>
      <c r="V29" s="8">
        <f t="shared" si="6"/>
        <v>15.89</v>
      </c>
      <c r="X29" t="s">
        <v>476</v>
      </c>
      <c r="Y29" t="s">
        <v>477</v>
      </c>
      <c r="Z29">
        <v>7895</v>
      </c>
      <c r="AA29" s="5" t="s">
        <v>478</v>
      </c>
      <c r="AB29" s="5" t="s">
        <v>479</v>
      </c>
      <c r="AC29" s="5">
        <v>20561</v>
      </c>
      <c r="AD29" s="5">
        <f t="shared" si="1"/>
        <v>16649</v>
      </c>
      <c r="AE29" s="8">
        <f t="shared" si="7"/>
        <v>18605</v>
      </c>
      <c r="AF29" s="8">
        <f t="shared" si="8"/>
        <v>37.21</v>
      </c>
      <c r="AH29" t="s">
        <v>608</v>
      </c>
      <c r="AI29" t="s">
        <v>219</v>
      </c>
      <c r="AJ29">
        <v>3814</v>
      </c>
      <c r="AK29" s="5" t="s">
        <v>608</v>
      </c>
      <c r="AL29" s="5" t="s">
        <v>13</v>
      </c>
      <c r="AM29" s="5">
        <v>9455</v>
      </c>
      <c r="AN29" s="5">
        <f t="shared" si="2"/>
        <v>3814</v>
      </c>
      <c r="AO29" s="8">
        <f t="shared" si="9"/>
        <v>6634.5</v>
      </c>
      <c r="AP29" s="8">
        <f t="shared" si="10"/>
        <v>13.269</v>
      </c>
    </row>
    <row r="30" spans="1:42" x14ac:dyDescent="0.25">
      <c r="A30" t="s">
        <v>51</v>
      </c>
      <c r="B30" t="s">
        <v>52</v>
      </c>
      <c r="C30">
        <v>7334</v>
      </c>
      <c r="J30" s="5" t="s">
        <v>55</v>
      </c>
      <c r="K30" s="5" t="s">
        <v>56</v>
      </c>
      <c r="L30" s="5">
        <v>176</v>
      </c>
      <c r="M30" s="7">
        <f t="shared" si="0"/>
        <v>305</v>
      </c>
      <c r="N30" s="8">
        <f t="shared" si="3"/>
        <v>240.5</v>
      </c>
      <c r="O30" s="8">
        <f t="shared" si="4"/>
        <v>0.48099999999999998</v>
      </c>
      <c r="Q30" s="5" t="s">
        <v>277</v>
      </c>
      <c r="R30" s="5" t="s">
        <v>278</v>
      </c>
      <c r="S30" s="5">
        <v>11644</v>
      </c>
      <c r="T30" s="5">
        <v>7875</v>
      </c>
      <c r="U30" s="8">
        <f t="shared" si="5"/>
        <v>9759.5</v>
      </c>
      <c r="V30" s="8">
        <f t="shared" si="6"/>
        <v>19.518999999999998</v>
      </c>
      <c r="X30" t="s">
        <v>478</v>
      </c>
      <c r="Y30" t="s">
        <v>479</v>
      </c>
      <c r="Z30">
        <v>16649</v>
      </c>
      <c r="AA30" s="5" t="s">
        <v>480</v>
      </c>
      <c r="AB30" s="5" t="s">
        <v>481</v>
      </c>
      <c r="AC30" s="5">
        <v>21182</v>
      </c>
      <c r="AD30" s="5">
        <f t="shared" si="1"/>
        <v>17543</v>
      </c>
      <c r="AE30" s="8">
        <f t="shared" si="7"/>
        <v>19362.5</v>
      </c>
      <c r="AF30" s="8">
        <f t="shared" si="8"/>
        <v>38.725000000000001</v>
      </c>
      <c r="AH30" t="s">
        <v>609</v>
      </c>
      <c r="AI30" t="s">
        <v>610</v>
      </c>
      <c r="AJ30">
        <v>9848</v>
      </c>
      <c r="AK30" s="5" t="s">
        <v>609</v>
      </c>
      <c r="AL30" s="5" t="s">
        <v>610</v>
      </c>
      <c r="AM30" s="5">
        <v>8784</v>
      </c>
      <c r="AN30" s="5">
        <f t="shared" si="2"/>
        <v>9848</v>
      </c>
      <c r="AO30" s="8">
        <f t="shared" si="9"/>
        <v>9316</v>
      </c>
      <c r="AP30" s="8">
        <f t="shared" si="10"/>
        <v>18.632000000000001</v>
      </c>
    </row>
    <row r="31" spans="1:42" x14ac:dyDescent="0.25">
      <c r="A31" t="s">
        <v>53</v>
      </c>
      <c r="B31" t="s">
        <v>54</v>
      </c>
      <c r="C31">
        <v>2209</v>
      </c>
      <c r="J31" s="5" t="s">
        <v>57</v>
      </c>
      <c r="K31" s="5" t="s">
        <v>58</v>
      </c>
      <c r="L31" s="5">
        <v>1987</v>
      </c>
      <c r="M31" s="7">
        <f t="shared" si="0"/>
        <v>1697</v>
      </c>
      <c r="N31" s="8">
        <f t="shared" si="3"/>
        <v>1842</v>
      </c>
      <c r="O31" s="8">
        <f t="shared" si="4"/>
        <v>3.6840000000000002</v>
      </c>
      <c r="Q31" s="5" t="s">
        <v>279</v>
      </c>
      <c r="R31" s="5" t="s">
        <v>280</v>
      </c>
      <c r="S31" s="5">
        <v>11234</v>
      </c>
      <c r="T31" s="5">
        <v>4649</v>
      </c>
      <c r="U31" s="8">
        <f t="shared" si="5"/>
        <v>7941.5</v>
      </c>
      <c r="V31" s="8">
        <f t="shared" si="6"/>
        <v>15.882999999999999</v>
      </c>
      <c r="X31" t="s">
        <v>480</v>
      </c>
      <c r="Y31" t="s">
        <v>481</v>
      </c>
      <c r="Z31">
        <v>17543</v>
      </c>
      <c r="AA31" s="5" t="s">
        <v>482</v>
      </c>
      <c r="AB31" s="5" t="s">
        <v>483</v>
      </c>
      <c r="AC31" s="5">
        <v>15909</v>
      </c>
      <c r="AD31" s="5">
        <f t="shared" si="1"/>
        <v>0</v>
      </c>
      <c r="AE31" s="8">
        <f t="shared" si="7"/>
        <v>7954.5</v>
      </c>
      <c r="AF31" s="8">
        <f t="shared" si="8"/>
        <v>15.909000000000001</v>
      </c>
      <c r="AH31" t="s">
        <v>611</v>
      </c>
      <c r="AI31" t="s">
        <v>612</v>
      </c>
      <c r="AJ31">
        <v>5189</v>
      </c>
      <c r="AK31" s="5" t="s">
        <v>611</v>
      </c>
      <c r="AL31" s="5" t="s">
        <v>612</v>
      </c>
      <c r="AM31" s="5">
        <v>5641</v>
      </c>
      <c r="AN31" s="5">
        <f t="shared" si="2"/>
        <v>5189</v>
      </c>
      <c r="AO31" s="8">
        <f t="shared" si="9"/>
        <v>5415</v>
      </c>
      <c r="AP31" s="8">
        <f t="shared" si="10"/>
        <v>10.83</v>
      </c>
    </row>
    <row r="32" spans="1:42" x14ac:dyDescent="0.25">
      <c r="A32" t="s">
        <v>55</v>
      </c>
      <c r="B32" t="s">
        <v>56</v>
      </c>
      <c r="C32">
        <v>305</v>
      </c>
      <c r="J32" s="5" t="s">
        <v>59</v>
      </c>
      <c r="K32" s="5" t="s">
        <v>60</v>
      </c>
      <c r="L32" s="5">
        <v>2261</v>
      </c>
      <c r="M32" s="7">
        <f t="shared" si="0"/>
        <v>1997</v>
      </c>
      <c r="N32" s="8">
        <f t="shared" si="3"/>
        <v>2129</v>
      </c>
      <c r="O32" s="8">
        <f t="shared" si="4"/>
        <v>4.258</v>
      </c>
      <c r="Q32" s="5" t="s">
        <v>281</v>
      </c>
      <c r="R32" s="5" t="s">
        <v>282</v>
      </c>
      <c r="S32" s="5">
        <v>0</v>
      </c>
      <c r="T32" s="5">
        <v>1561</v>
      </c>
      <c r="U32" s="8">
        <f t="shared" si="5"/>
        <v>780.5</v>
      </c>
      <c r="V32" s="8">
        <f t="shared" si="6"/>
        <v>1.5609999999999999</v>
      </c>
      <c r="X32" t="s">
        <v>482</v>
      </c>
      <c r="Y32" t="s">
        <v>483</v>
      </c>
      <c r="Z32">
        <v>0</v>
      </c>
      <c r="AA32" s="5" t="s">
        <v>484</v>
      </c>
      <c r="AB32" s="5" t="s">
        <v>485</v>
      </c>
      <c r="AC32" s="5">
        <v>25118</v>
      </c>
      <c r="AD32" s="5">
        <f t="shared" si="1"/>
        <v>11220</v>
      </c>
      <c r="AE32" s="8">
        <f t="shared" si="7"/>
        <v>18169</v>
      </c>
      <c r="AF32" s="8">
        <f t="shared" si="8"/>
        <v>36.338000000000001</v>
      </c>
      <c r="AH32" t="s">
        <v>613</v>
      </c>
      <c r="AI32" t="s">
        <v>614</v>
      </c>
      <c r="AJ32">
        <v>12911</v>
      </c>
      <c r="AK32" s="5" t="s">
        <v>613</v>
      </c>
      <c r="AL32" s="5" t="s">
        <v>614</v>
      </c>
      <c r="AM32" s="5">
        <v>21901</v>
      </c>
      <c r="AN32" s="5">
        <f t="shared" si="2"/>
        <v>12911</v>
      </c>
      <c r="AO32" s="8">
        <f t="shared" si="9"/>
        <v>17406</v>
      </c>
      <c r="AP32" s="8">
        <f t="shared" si="10"/>
        <v>34.811999999999998</v>
      </c>
    </row>
    <row r="33" spans="1:42" x14ac:dyDescent="0.25">
      <c r="A33" t="s">
        <v>57</v>
      </c>
      <c r="B33" t="s">
        <v>58</v>
      </c>
      <c r="C33">
        <v>1697</v>
      </c>
      <c r="J33" s="5" t="s">
        <v>61</v>
      </c>
      <c r="K33" s="5" t="s">
        <v>62</v>
      </c>
      <c r="L33" s="5">
        <v>623</v>
      </c>
      <c r="M33" s="7">
        <f t="shared" si="0"/>
        <v>276</v>
      </c>
      <c r="N33" s="8">
        <f t="shared" si="3"/>
        <v>449.5</v>
      </c>
      <c r="O33" s="8">
        <f t="shared" si="4"/>
        <v>0.89900000000000002</v>
      </c>
      <c r="Q33" s="5" t="s">
        <v>283</v>
      </c>
      <c r="R33" s="5" t="s">
        <v>284</v>
      </c>
      <c r="S33" s="5">
        <v>1874</v>
      </c>
      <c r="T33" s="5">
        <v>1341</v>
      </c>
      <c r="U33" s="8">
        <f t="shared" si="5"/>
        <v>1607.5</v>
      </c>
      <c r="V33" s="8">
        <f t="shared" si="6"/>
        <v>3.2149999999999999</v>
      </c>
      <c r="X33" t="s">
        <v>484</v>
      </c>
      <c r="Y33" t="s">
        <v>485</v>
      </c>
      <c r="Z33">
        <v>11220</v>
      </c>
      <c r="AA33" s="5" t="s">
        <v>486</v>
      </c>
      <c r="AB33" s="5" t="s">
        <v>487</v>
      </c>
      <c r="AC33" s="5">
        <v>18182</v>
      </c>
      <c r="AD33" s="5">
        <f t="shared" si="1"/>
        <v>26112</v>
      </c>
      <c r="AE33" s="8">
        <f t="shared" si="7"/>
        <v>22147</v>
      </c>
      <c r="AF33" s="8">
        <f t="shared" si="8"/>
        <v>44.293999999999997</v>
      </c>
      <c r="AH33" t="s">
        <v>615</v>
      </c>
      <c r="AI33" t="s">
        <v>616</v>
      </c>
      <c r="AJ33">
        <v>6077</v>
      </c>
      <c r="AK33" s="5" t="s">
        <v>615</v>
      </c>
      <c r="AL33" s="5" t="s">
        <v>616</v>
      </c>
      <c r="AM33" s="5">
        <v>6673</v>
      </c>
      <c r="AN33" s="5">
        <f t="shared" si="2"/>
        <v>6077</v>
      </c>
      <c r="AO33" s="8">
        <f t="shared" si="9"/>
        <v>6375</v>
      </c>
      <c r="AP33" s="8">
        <f t="shared" si="10"/>
        <v>12.75</v>
      </c>
    </row>
    <row r="34" spans="1:42" x14ac:dyDescent="0.25">
      <c r="A34" t="s">
        <v>59</v>
      </c>
      <c r="B34" t="s">
        <v>60</v>
      </c>
      <c r="C34">
        <v>1997</v>
      </c>
      <c r="J34" s="5" t="s">
        <v>63</v>
      </c>
      <c r="K34" s="5" t="s">
        <v>64</v>
      </c>
      <c r="L34" s="5">
        <v>2644</v>
      </c>
      <c r="M34" s="7">
        <f t="shared" si="0"/>
        <v>1784</v>
      </c>
      <c r="N34" s="8">
        <f t="shared" si="3"/>
        <v>2214</v>
      </c>
      <c r="O34" s="8">
        <f t="shared" si="4"/>
        <v>4.4279999999999999</v>
      </c>
      <c r="Q34" s="5" t="s">
        <v>285</v>
      </c>
      <c r="R34" s="5" t="s">
        <v>286</v>
      </c>
      <c r="S34" s="5">
        <v>0</v>
      </c>
      <c r="T34" s="5">
        <v>3392</v>
      </c>
      <c r="U34" s="8">
        <f t="shared" si="5"/>
        <v>1696</v>
      </c>
      <c r="V34" s="8">
        <f t="shared" si="6"/>
        <v>3.3919999999999999</v>
      </c>
      <c r="X34" t="s">
        <v>486</v>
      </c>
      <c r="Y34" t="s">
        <v>487</v>
      </c>
      <c r="Z34">
        <v>26112</v>
      </c>
      <c r="AA34" s="5" t="s">
        <v>488</v>
      </c>
      <c r="AB34" s="5" t="s">
        <v>489</v>
      </c>
      <c r="AC34" s="5">
        <v>5000</v>
      </c>
      <c r="AD34" s="5">
        <f t="shared" si="1"/>
        <v>5000</v>
      </c>
      <c r="AE34" s="8">
        <f t="shared" si="7"/>
        <v>5000</v>
      </c>
      <c r="AF34" s="8">
        <f t="shared" si="8"/>
        <v>10</v>
      </c>
      <c r="AH34" t="s">
        <v>617</v>
      </c>
      <c r="AI34" t="s">
        <v>618</v>
      </c>
      <c r="AJ34">
        <v>12513</v>
      </c>
      <c r="AK34" s="5" t="s">
        <v>617</v>
      </c>
      <c r="AL34" s="5" t="s">
        <v>618</v>
      </c>
      <c r="AM34" s="5">
        <v>18785</v>
      </c>
      <c r="AN34" s="5">
        <f t="shared" si="2"/>
        <v>12513</v>
      </c>
      <c r="AO34" s="8">
        <f t="shared" si="9"/>
        <v>15649</v>
      </c>
      <c r="AP34" s="8">
        <f t="shared" si="10"/>
        <v>31.297999999999998</v>
      </c>
    </row>
    <row r="35" spans="1:42" x14ac:dyDescent="0.25">
      <c r="A35" t="s">
        <v>61</v>
      </c>
      <c r="B35" t="s">
        <v>62</v>
      </c>
      <c r="C35">
        <v>276</v>
      </c>
      <c r="J35" s="5" t="s">
        <v>65</v>
      </c>
      <c r="K35" s="5" t="s">
        <v>66</v>
      </c>
      <c r="L35" s="5">
        <v>803</v>
      </c>
      <c r="M35" s="7">
        <f t="shared" ref="M35:M66" si="11">VLOOKUP(J35,$A$4:$C$130,3,0)</f>
        <v>213</v>
      </c>
      <c r="N35" s="8">
        <f t="shared" si="3"/>
        <v>508</v>
      </c>
      <c r="O35" s="8">
        <f t="shared" si="4"/>
        <v>1.016</v>
      </c>
      <c r="Q35" s="5" t="s">
        <v>287</v>
      </c>
      <c r="R35" s="5" t="s">
        <v>288</v>
      </c>
      <c r="S35" s="5">
        <v>8192</v>
      </c>
      <c r="T35" s="5">
        <v>3221</v>
      </c>
      <c r="U35" s="8">
        <f t="shared" si="5"/>
        <v>5706.5</v>
      </c>
      <c r="V35" s="8">
        <f t="shared" si="6"/>
        <v>11.413</v>
      </c>
      <c r="X35" t="s">
        <v>488</v>
      </c>
      <c r="Y35" t="s">
        <v>489</v>
      </c>
      <c r="Z35">
        <v>5000</v>
      </c>
      <c r="AA35" s="5" t="s">
        <v>490</v>
      </c>
      <c r="AB35" s="5" t="s">
        <v>491</v>
      </c>
      <c r="AC35" s="5">
        <v>33045</v>
      </c>
      <c r="AD35" s="5">
        <f t="shared" ref="AD35:AD55" si="12">VLOOKUP(AA35,$X$3:$Z$69,3,0)</f>
        <v>9859</v>
      </c>
      <c r="AE35" s="8">
        <f t="shared" si="7"/>
        <v>21452</v>
      </c>
      <c r="AF35" s="8">
        <f t="shared" si="8"/>
        <v>42.904000000000003</v>
      </c>
      <c r="AH35" t="s">
        <v>423</v>
      </c>
      <c r="AI35" t="s">
        <v>619</v>
      </c>
      <c r="AJ35">
        <v>0</v>
      </c>
    </row>
    <row r="36" spans="1:42" x14ac:dyDescent="0.25">
      <c r="A36" t="s">
        <v>63</v>
      </c>
      <c r="B36" t="s">
        <v>64</v>
      </c>
      <c r="C36">
        <v>1784</v>
      </c>
      <c r="J36" s="5" t="s">
        <v>67</v>
      </c>
      <c r="K36" s="5" t="s">
        <v>68</v>
      </c>
      <c r="L36" s="5">
        <v>2718</v>
      </c>
      <c r="M36" s="7">
        <f t="shared" si="11"/>
        <v>3113</v>
      </c>
      <c r="N36" s="8">
        <f t="shared" si="3"/>
        <v>2915.5</v>
      </c>
      <c r="O36" s="8">
        <f t="shared" si="4"/>
        <v>5.8310000000000004</v>
      </c>
      <c r="Q36" s="5" t="s">
        <v>289</v>
      </c>
      <c r="R36" s="5" t="s">
        <v>290</v>
      </c>
      <c r="S36" s="5">
        <v>10713</v>
      </c>
      <c r="T36" s="5">
        <v>5048</v>
      </c>
      <c r="U36" s="8">
        <f t="shared" si="5"/>
        <v>7880.5</v>
      </c>
      <c r="V36" s="8">
        <f t="shared" si="6"/>
        <v>15.760999999999999</v>
      </c>
      <c r="X36" t="s">
        <v>490</v>
      </c>
      <c r="Y36" t="s">
        <v>491</v>
      </c>
      <c r="Z36">
        <v>9859</v>
      </c>
      <c r="AA36" s="5" t="s">
        <v>492</v>
      </c>
      <c r="AB36" s="5" t="s">
        <v>493</v>
      </c>
      <c r="AC36" s="5">
        <v>14069</v>
      </c>
      <c r="AD36" s="5">
        <f t="shared" si="12"/>
        <v>8014</v>
      </c>
      <c r="AE36" s="8">
        <f t="shared" si="7"/>
        <v>11041.5</v>
      </c>
      <c r="AF36" s="8">
        <f t="shared" si="8"/>
        <v>22.082999999999998</v>
      </c>
    </row>
    <row r="37" spans="1:42" x14ac:dyDescent="0.25">
      <c r="A37" t="s">
        <v>65</v>
      </c>
      <c r="B37" t="s">
        <v>66</v>
      </c>
      <c r="C37">
        <v>213</v>
      </c>
      <c r="J37" s="5" t="s">
        <v>69</v>
      </c>
      <c r="K37" s="5" t="s">
        <v>70</v>
      </c>
      <c r="L37" s="5">
        <v>232</v>
      </c>
      <c r="M37" s="7">
        <f t="shared" si="11"/>
        <v>237</v>
      </c>
      <c r="N37" s="8">
        <f t="shared" si="3"/>
        <v>234.5</v>
      </c>
      <c r="O37" s="8">
        <f t="shared" si="4"/>
        <v>0.46899999999999997</v>
      </c>
      <c r="Q37" s="5" t="s">
        <v>291</v>
      </c>
      <c r="R37" s="5" t="s">
        <v>292</v>
      </c>
      <c r="S37" s="5">
        <v>11288</v>
      </c>
      <c r="T37" s="5">
        <v>4870</v>
      </c>
      <c r="U37" s="8">
        <f t="shared" si="5"/>
        <v>8079</v>
      </c>
      <c r="V37" s="8">
        <f t="shared" si="6"/>
        <v>16.158000000000001</v>
      </c>
      <c r="X37" t="s">
        <v>492</v>
      </c>
      <c r="Y37" t="s">
        <v>493</v>
      </c>
      <c r="Z37">
        <v>8014</v>
      </c>
      <c r="AA37" s="5" t="s">
        <v>494</v>
      </c>
      <c r="AB37" s="5" t="s">
        <v>495</v>
      </c>
      <c r="AC37" s="5">
        <v>23424</v>
      </c>
      <c r="AD37" s="5">
        <f t="shared" si="12"/>
        <v>7382</v>
      </c>
      <c r="AE37" s="8">
        <f t="shared" si="7"/>
        <v>15403</v>
      </c>
      <c r="AF37" s="8">
        <f t="shared" si="8"/>
        <v>30.806000000000001</v>
      </c>
    </row>
    <row r="38" spans="1:42" x14ac:dyDescent="0.25">
      <c r="A38" t="s">
        <v>67</v>
      </c>
      <c r="B38" t="s">
        <v>68</v>
      </c>
      <c r="C38">
        <v>3113</v>
      </c>
      <c r="J38" s="5" t="s">
        <v>33</v>
      </c>
      <c r="K38" s="5" t="s">
        <v>71</v>
      </c>
      <c r="L38" s="5">
        <v>829</v>
      </c>
      <c r="M38" s="7">
        <f t="shared" si="11"/>
        <v>1219</v>
      </c>
      <c r="N38" s="8">
        <f t="shared" si="3"/>
        <v>1024</v>
      </c>
      <c r="O38" s="8">
        <f t="shared" si="4"/>
        <v>2.048</v>
      </c>
      <c r="Q38" s="5" t="s">
        <v>293</v>
      </c>
      <c r="R38" s="5" t="s">
        <v>294</v>
      </c>
      <c r="S38" s="5">
        <v>5174</v>
      </c>
      <c r="T38" s="5">
        <v>2920</v>
      </c>
      <c r="U38" s="8">
        <f t="shared" si="5"/>
        <v>4047</v>
      </c>
      <c r="V38" s="8">
        <f t="shared" si="6"/>
        <v>8.0939999999999994</v>
      </c>
      <c r="X38" t="s">
        <v>494</v>
      </c>
      <c r="Y38" t="s">
        <v>495</v>
      </c>
      <c r="Z38">
        <v>7382</v>
      </c>
      <c r="AA38" s="5" t="s">
        <v>498</v>
      </c>
      <c r="AB38" s="5" t="s">
        <v>499</v>
      </c>
      <c r="AC38" s="5">
        <v>13612</v>
      </c>
      <c r="AD38" s="5">
        <f t="shared" si="12"/>
        <v>7176</v>
      </c>
      <c r="AE38" s="8">
        <f t="shared" si="7"/>
        <v>10394</v>
      </c>
      <c r="AF38" s="8">
        <f t="shared" si="8"/>
        <v>20.788</v>
      </c>
    </row>
    <row r="39" spans="1:42" x14ac:dyDescent="0.25">
      <c r="A39" t="s">
        <v>69</v>
      </c>
      <c r="B39" t="s">
        <v>70</v>
      </c>
      <c r="C39">
        <v>237</v>
      </c>
      <c r="J39" s="5" t="s">
        <v>33</v>
      </c>
      <c r="K39" s="5" t="s">
        <v>72</v>
      </c>
      <c r="L39" s="5">
        <v>1482</v>
      </c>
      <c r="M39" s="7">
        <f t="shared" si="11"/>
        <v>1219</v>
      </c>
      <c r="N39" s="8">
        <f t="shared" si="3"/>
        <v>1350.5</v>
      </c>
      <c r="O39" s="8">
        <f t="shared" si="4"/>
        <v>2.7010000000000001</v>
      </c>
      <c r="Q39" s="5" t="s">
        <v>295</v>
      </c>
      <c r="R39" s="5" t="s">
        <v>296</v>
      </c>
      <c r="S39" s="5">
        <v>3456</v>
      </c>
      <c r="T39" s="5">
        <v>2734</v>
      </c>
      <c r="U39" s="8">
        <f t="shared" si="5"/>
        <v>3095</v>
      </c>
      <c r="V39" s="8">
        <f t="shared" si="6"/>
        <v>6.19</v>
      </c>
      <c r="X39" t="s">
        <v>496</v>
      </c>
      <c r="Y39" t="s">
        <v>497</v>
      </c>
      <c r="Z39">
        <v>7412</v>
      </c>
      <c r="AA39" s="5" t="s">
        <v>500</v>
      </c>
      <c r="AB39" s="5" t="s">
        <v>501</v>
      </c>
      <c r="AC39" s="5">
        <v>9569</v>
      </c>
      <c r="AD39" s="5">
        <f t="shared" si="12"/>
        <v>23045</v>
      </c>
      <c r="AE39" s="8">
        <f t="shared" si="7"/>
        <v>16307</v>
      </c>
      <c r="AF39" s="8">
        <f t="shared" si="8"/>
        <v>32.613999999999997</v>
      </c>
    </row>
    <row r="40" spans="1:42" x14ac:dyDescent="0.25">
      <c r="A40" t="s">
        <v>33</v>
      </c>
      <c r="B40" t="s">
        <v>71</v>
      </c>
      <c r="C40">
        <v>869</v>
      </c>
      <c r="J40" s="5" t="s">
        <v>73</v>
      </c>
      <c r="K40" s="5" t="s">
        <v>74</v>
      </c>
      <c r="L40" s="5">
        <v>0</v>
      </c>
      <c r="M40" s="7">
        <f t="shared" si="11"/>
        <v>2191</v>
      </c>
      <c r="N40" s="8">
        <f t="shared" si="3"/>
        <v>1095.5</v>
      </c>
      <c r="O40" s="8">
        <f t="shared" si="4"/>
        <v>2.1909999999999998</v>
      </c>
      <c r="Q40" s="5" t="s">
        <v>297</v>
      </c>
      <c r="R40" s="5" t="s">
        <v>298</v>
      </c>
      <c r="S40" s="5">
        <v>4188</v>
      </c>
      <c r="T40" s="5">
        <v>3614</v>
      </c>
      <c r="U40" s="8">
        <f t="shared" si="5"/>
        <v>3901</v>
      </c>
      <c r="V40" s="8">
        <f t="shared" si="6"/>
        <v>7.8019999999999996</v>
      </c>
      <c r="X40" t="s">
        <v>498</v>
      </c>
      <c r="Y40" t="s">
        <v>499</v>
      </c>
      <c r="Z40">
        <v>7176</v>
      </c>
      <c r="AA40" s="5" t="s">
        <v>502</v>
      </c>
      <c r="AB40" s="5" t="s">
        <v>503</v>
      </c>
      <c r="AC40" s="5">
        <v>16605</v>
      </c>
      <c r="AD40" s="5">
        <f t="shared" si="12"/>
        <v>12231</v>
      </c>
      <c r="AE40" s="8">
        <f t="shared" si="7"/>
        <v>14418</v>
      </c>
      <c r="AF40" s="8">
        <f t="shared" si="8"/>
        <v>28.835999999999999</v>
      </c>
    </row>
    <row r="41" spans="1:42" x14ac:dyDescent="0.25">
      <c r="A41" t="s">
        <v>33</v>
      </c>
      <c r="B41" t="s">
        <v>72</v>
      </c>
      <c r="C41">
        <v>1122</v>
      </c>
      <c r="J41" s="5" t="s">
        <v>75</v>
      </c>
      <c r="K41" s="5" t="s">
        <v>76</v>
      </c>
      <c r="L41" s="5">
        <v>1340</v>
      </c>
      <c r="M41" s="7">
        <f t="shared" si="11"/>
        <v>939</v>
      </c>
      <c r="N41" s="8">
        <f t="shared" si="3"/>
        <v>1139.5</v>
      </c>
      <c r="O41" s="8">
        <f t="shared" si="4"/>
        <v>2.2789999999999999</v>
      </c>
      <c r="Q41" s="5" t="s">
        <v>299</v>
      </c>
      <c r="R41" s="5" t="s">
        <v>300</v>
      </c>
      <c r="S41" s="5">
        <v>2713</v>
      </c>
      <c r="T41" s="5">
        <v>2</v>
      </c>
      <c r="U41" s="8">
        <f t="shared" si="5"/>
        <v>1357.5</v>
      </c>
      <c r="V41" s="8">
        <f t="shared" si="6"/>
        <v>2.7149999999999999</v>
      </c>
      <c r="X41" t="s">
        <v>500</v>
      </c>
      <c r="Y41" t="s">
        <v>501</v>
      </c>
      <c r="Z41">
        <v>23045</v>
      </c>
      <c r="AA41" s="5" t="s">
        <v>504</v>
      </c>
      <c r="AB41" s="5" t="s">
        <v>505</v>
      </c>
      <c r="AC41" s="5">
        <v>20846</v>
      </c>
      <c r="AD41" s="5">
        <f t="shared" si="12"/>
        <v>14625</v>
      </c>
      <c r="AE41" s="8">
        <f t="shared" si="7"/>
        <v>17735.5</v>
      </c>
      <c r="AF41" s="8">
        <f t="shared" si="8"/>
        <v>35.470999999999997</v>
      </c>
    </row>
    <row r="42" spans="1:42" x14ac:dyDescent="0.25">
      <c r="A42" t="s">
        <v>73</v>
      </c>
      <c r="B42" t="s">
        <v>74</v>
      </c>
      <c r="C42">
        <v>2191</v>
      </c>
      <c r="J42" s="5" t="s">
        <v>77</v>
      </c>
      <c r="K42" s="5" t="s">
        <v>78</v>
      </c>
      <c r="L42" s="5">
        <v>7875</v>
      </c>
      <c r="M42" s="7">
        <f t="shared" si="11"/>
        <v>5341</v>
      </c>
      <c r="N42" s="8">
        <f t="shared" si="3"/>
        <v>6608</v>
      </c>
      <c r="O42" s="8">
        <f t="shared" si="4"/>
        <v>13.215999999999999</v>
      </c>
      <c r="Q42" s="5" t="s">
        <v>301</v>
      </c>
      <c r="R42" s="5" t="s">
        <v>302</v>
      </c>
      <c r="S42" s="5">
        <v>9210</v>
      </c>
      <c r="T42" s="5">
        <v>2476</v>
      </c>
      <c r="U42" s="8">
        <f t="shared" si="5"/>
        <v>5843</v>
      </c>
      <c r="V42" s="8">
        <f t="shared" si="6"/>
        <v>11.686</v>
      </c>
      <c r="X42" t="s">
        <v>502</v>
      </c>
      <c r="Y42" t="s">
        <v>503</v>
      </c>
      <c r="Z42">
        <v>12231</v>
      </c>
      <c r="AA42" s="5" t="s">
        <v>506</v>
      </c>
      <c r="AB42" s="5" t="s">
        <v>507</v>
      </c>
      <c r="AC42" s="5">
        <v>15950</v>
      </c>
      <c r="AD42" s="5">
        <f t="shared" si="12"/>
        <v>12676</v>
      </c>
      <c r="AE42" s="8">
        <f t="shared" si="7"/>
        <v>14313</v>
      </c>
      <c r="AF42" s="8">
        <f t="shared" si="8"/>
        <v>28.626000000000001</v>
      </c>
    </row>
    <row r="43" spans="1:42" x14ac:dyDescent="0.25">
      <c r="A43" t="s">
        <v>75</v>
      </c>
      <c r="B43" t="s">
        <v>76</v>
      </c>
      <c r="C43">
        <v>939</v>
      </c>
      <c r="J43" s="5" t="s">
        <v>79</v>
      </c>
      <c r="K43" s="5" t="s">
        <v>80</v>
      </c>
      <c r="L43" s="5">
        <v>2046</v>
      </c>
      <c r="M43" s="7">
        <f t="shared" si="11"/>
        <v>1135</v>
      </c>
      <c r="N43" s="8">
        <f t="shared" si="3"/>
        <v>1590.5</v>
      </c>
      <c r="O43" s="8">
        <f t="shared" si="4"/>
        <v>3.181</v>
      </c>
      <c r="Q43" s="5" t="s">
        <v>303</v>
      </c>
      <c r="R43" s="5" t="s">
        <v>304</v>
      </c>
      <c r="S43" s="5">
        <v>233</v>
      </c>
      <c r="T43" s="5">
        <v>338</v>
      </c>
      <c r="U43" s="8">
        <f t="shared" si="5"/>
        <v>285.5</v>
      </c>
      <c r="V43" s="8">
        <f t="shared" si="6"/>
        <v>0.57099999999999995</v>
      </c>
      <c r="X43" t="s">
        <v>504</v>
      </c>
      <c r="Y43" t="s">
        <v>505</v>
      </c>
      <c r="Z43">
        <v>14625</v>
      </c>
      <c r="AA43" s="5" t="s">
        <v>508</v>
      </c>
      <c r="AB43" s="5" t="s">
        <v>509</v>
      </c>
      <c r="AC43" s="5">
        <v>25701</v>
      </c>
      <c r="AD43" s="5">
        <f t="shared" si="12"/>
        <v>24353</v>
      </c>
      <c r="AE43" s="8">
        <f t="shared" si="7"/>
        <v>25027</v>
      </c>
      <c r="AF43" s="8">
        <f t="shared" si="8"/>
        <v>50.054000000000002</v>
      </c>
    </row>
    <row r="44" spans="1:42" x14ac:dyDescent="0.25">
      <c r="A44" t="s">
        <v>77</v>
      </c>
      <c r="B44" t="s">
        <v>78</v>
      </c>
      <c r="C44">
        <v>5341</v>
      </c>
      <c r="J44" s="5" t="s">
        <v>69</v>
      </c>
      <c r="K44" s="5" t="s">
        <v>81</v>
      </c>
      <c r="L44" s="5">
        <v>3750</v>
      </c>
      <c r="M44" s="7">
        <f t="shared" si="11"/>
        <v>237</v>
      </c>
      <c r="N44" s="8">
        <f t="shared" si="3"/>
        <v>1993.5</v>
      </c>
      <c r="O44" s="8">
        <f t="shared" si="4"/>
        <v>3.9870000000000001</v>
      </c>
      <c r="Q44" s="5" t="s">
        <v>305</v>
      </c>
      <c r="R44" s="5" t="s">
        <v>306</v>
      </c>
      <c r="S44" s="5">
        <v>123</v>
      </c>
      <c r="T44" s="5">
        <v>72</v>
      </c>
      <c r="U44" s="8">
        <f t="shared" si="5"/>
        <v>97.5</v>
      </c>
      <c r="V44" s="8">
        <f t="shared" si="6"/>
        <v>0.19500000000000001</v>
      </c>
      <c r="X44" t="s">
        <v>506</v>
      </c>
      <c r="Y44" t="s">
        <v>507</v>
      </c>
      <c r="Z44">
        <v>12676</v>
      </c>
      <c r="AA44" s="5" t="s">
        <v>510</v>
      </c>
      <c r="AB44" s="5" t="s">
        <v>511</v>
      </c>
      <c r="AC44" s="5">
        <v>5684</v>
      </c>
      <c r="AD44" s="5">
        <f t="shared" si="12"/>
        <v>4327</v>
      </c>
      <c r="AE44" s="8">
        <f t="shared" si="7"/>
        <v>5005.5</v>
      </c>
      <c r="AF44" s="8">
        <f t="shared" si="8"/>
        <v>10.010999999999999</v>
      </c>
    </row>
    <row r="45" spans="1:42" x14ac:dyDescent="0.25">
      <c r="A45" t="s">
        <v>79</v>
      </c>
      <c r="B45" t="s">
        <v>80</v>
      </c>
      <c r="C45">
        <v>1135</v>
      </c>
      <c r="J45" s="5" t="s">
        <v>69</v>
      </c>
      <c r="K45" s="5" t="s">
        <v>82</v>
      </c>
      <c r="L45" s="5">
        <v>4707</v>
      </c>
      <c r="M45" s="7">
        <f t="shared" si="11"/>
        <v>237</v>
      </c>
      <c r="N45" s="8">
        <f t="shared" si="3"/>
        <v>2472</v>
      </c>
      <c r="O45" s="8">
        <f t="shared" si="4"/>
        <v>4.944</v>
      </c>
      <c r="Q45" s="5" t="s">
        <v>307</v>
      </c>
      <c r="R45" s="5" t="s">
        <v>308</v>
      </c>
      <c r="S45" s="5">
        <v>13900</v>
      </c>
      <c r="T45" s="5">
        <v>6748</v>
      </c>
      <c r="U45" s="8">
        <f t="shared" si="5"/>
        <v>10324</v>
      </c>
      <c r="V45" s="8">
        <f t="shared" si="6"/>
        <v>20.648</v>
      </c>
      <c r="X45" t="s">
        <v>508</v>
      </c>
      <c r="Y45" t="s">
        <v>509</v>
      </c>
      <c r="Z45">
        <v>24353</v>
      </c>
      <c r="AA45" s="5" t="s">
        <v>512</v>
      </c>
      <c r="AB45" s="5" t="s">
        <v>513</v>
      </c>
      <c r="AC45" s="5">
        <v>0</v>
      </c>
      <c r="AD45" s="5">
        <f t="shared" si="12"/>
        <v>17050</v>
      </c>
      <c r="AE45" s="8">
        <f t="shared" si="7"/>
        <v>8525</v>
      </c>
      <c r="AF45" s="8">
        <f t="shared" si="8"/>
        <v>17.05</v>
      </c>
    </row>
    <row r="46" spans="1:42" x14ac:dyDescent="0.25">
      <c r="A46" t="s">
        <v>69</v>
      </c>
      <c r="B46" t="s">
        <v>81</v>
      </c>
      <c r="C46">
        <v>2574</v>
      </c>
      <c r="J46" s="5" t="s">
        <v>83</v>
      </c>
      <c r="K46" s="5" t="s">
        <v>84</v>
      </c>
      <c r="L46" s="5">
        <v>893</v>
      </c>
      <c r="M46" s="7">
        <f t="shared" si="11"/>
        <v>1124</v>
      </c>
      <c r="N46" s="8">
        <f t="shared" si="3"/>
        <v>1008.5</v>
      </c>
      <c r="O46" s="8">
        <f t="shared" si="4"/>
        <v>2.0169999999999999</v>
      </c>
      <c r="Q46" s="5" t="s">
        <v>309</v>
      </c>
      <c r="R46" s="5" t="s">
        <v>310</v>
      </c>
      <c r="S46" s="5">
        <v>1366</v>
      </c>
      <c r="T46" s="5">
        <v>983</v>
      </c>
      <c r="U46" s="8">
        <f t="shared" si="5"/>
        <v>1174.5</v>
      </c>
      <c r="V46" s="8">
        <f t="shared" si="6"/>
        <v>2.3490000000000002</v>
      </c>
      <c r="X46" t="s">
        <v>510</v>
      </c>
      <c r="Y46" t="s">
        <v>511</v>
      </c>
      <c r="Z46">
        <v>4327</v>
      </c>
      <c r="AA46" s="5" t="s">
        <v>514</v>
      </c>
      <c r="AB46" s="5" t="s">
        <v>515</v>
      </c>
      <c r="AC46" s="5">
        <v>10475</v>
      </c>
      <c r="AD46" s="5">
        <f t="shared" si="12"/>
        <v>5594</v>
      </c>
      <c r="AE46" s="8">
        <f t="shared" si="7"/>
        <v>8034.5</v>
      </c>
      <c r="AF46" s="8">
        <f t="shared" si="8"/>
        <v>16.068999999999999</v>
      </c>
    </row>
    <row r="47" spans="1:42" x14ac:dyDescent="0.25">
      <c r="A47" t="s">
        <v>69</v>
      </c>
      <c r="B47" t="s">
        <v>82</v>
      </c>
      <c r="C47">
        <v>4866</v>
      </c>
      <c r="J47" s="5" t="s">
        <v>85</v>
      </c>
      <c r="K47" s="5" t="s">
        <v>86</v>
      </c>
      <c r="L47" s="5">
        <v>0</v>
      </c>
      <c r="M47" s="7">
        <f t="shared" si="11"/>
        <v>0</v>
      </c>
      <c r="N47" s="8">
        <f t="shared" si="3"/>
        <v>0</v>
      </c>
      <c r="O47" s="8">
        <f t="shared" si="4"/>
        <v>0</v>
      </c>
      <c r="Q47" s="5" t="s">
        <v>311</v>
      </c>
      <c r="R47" s="5" t="s">
        <v>312</v>
      </c>
      <c r="S47" s="5">
        <v>6294</v>
      </c>
      <c r="T47" s="5">
        <v>2518</v>
      </c>
      <c r="U47" s="8">
        <f t="shared" si="5"/>
        <v>4406</v>
      </c>
      <c r="V47" s="8">
        <f t="shared" si="6"/>
        <v>8.8119999999999994</v>
      </c>
      <c r="X47" t="s">
        <v>512</v>
      </c>
      <c r="Y47" t="s">
        <v>513</v>
      </c>
      <c r="Z47">
        <v>17050</v>
      </c>
      <c r="AA47" s="5" t="s">
        <v>516</v>
      </c>
      <c r="AB47" s="5" t="s">
        <v>517</v>
      </c>
      <c r="AC47" s="5">
        <v>9740</v>
      </c>
      <c r="AD47" s="5">
        <f t="shared" si="12"/>
        <v>6618</v>
      </c>
      <c r="AE47" s="8">
        <f t="shared" si="7"/>
        <v>8179</v>
      </c>
      <c r="AF47" s="8">
        <f t="shared" si="8"/>
        <v>16.358000000000001</v>
      </c>
    </row>
    <row r="48" spans="1:42" x14ac:dyDescent="0.25">
      <c r="A48" t="s">
        <v>83</v>
      </c>
      <c r="B48" t="s">
        <v>84</v>
      </c>
      <c r="C48">
        <v>1124</v>
      </c>
      <c r="J48" s="5" t="s">
        <v>91</v>
      </c>
      <c r="K48" s="5" t="s">
        <v>92</v>
      </c>
      <c r="L48" s="5">
        <v>1</v>
      </c>
      <c r="M48" s="7">
        <f t="shared" si="11"/>
        <v>0</v>
      </c>
      <c r="N48" s="8">
        <f t="shared" si="3"/>
        <v>0.5</v>
      </c>
      <c r="O48" s="8">
        <f t="shared" si="4"/>
        <v>1E-3</v>
      </c>
      <c r="Q48" s="5" t="s">
        <v>313</v>
      </c>
      <c r="R48" s="5" t="s">
        <v>314</v>
      </c>
      <c r="S48" s="5">
        <v>6489</v>
      </c>
      <c r="T48" s="5">
        <v>3896</v>
      </c>
      <c r="U48" s="8">
        <f t="shared" si="5"/>
        <v>5192.5</v>
      </c>
      <c r="V48" s="8">
        <f t="shared" si="6"/>
        <v>10.385</v>
      </c>
      <c r="X48" t="s">
        <v>514</v>
      </c>
      <c r="Y48" t="s">
        <v>515</v>
      </c>
      <c r="Z48">
        <v>5594</v>
      </c>
      <c r="AA48" s="5" t="s">
        <v>518</v>
      </c>
      <c r="AB48" s="5" t="s">
        <v>519</v>
      </c>
      <c r="AC48" s="5">
        <v>12996</v>
      </c>
      <c r="AD48" s="5">
        <f t="shared" si="12"/>
        <v>13650</v>
      </c>
      <c r="AE48" s="8">
        <f t="shared" si="7"/>
        <v>13323</v>
      </c>
      <c r="AF48" s="8">
        <f t="shared" si="8"/>
        <v>26.646000000000001</v>
      </c>
    </row>
    <row r="49" spans="1:32" x14ac:dyDescent="0.25">
      <c r="A49" t="s">
        <v>85</v>
      </c>
      <c r="B49" t="s">
        <v>86</v>
      </c>
      <c r="C49">
        <v>0</v>
      </c>
      <c r="J49" s="5" t="s">
        <v>93</v>
      </c>
      <c r="K49" s="5" t="s">
        <v>94</v>
      </c>
      <c r="L49" s="5">
        <v>510</v>
      </c>
      <c r="M49" s="7">
        <f t="shared" si="11"/>
        <v>437</v>
      </c>
      <c r="N49" s="8">
        <f t="shared" si="3"/>
        <v>473.5</v>
      </c>
      <c r="O49" s="8">
        <f t="shared" si="4"/>
        <v>0.94699999999999995</v>
      </c>
      <c r="Q49" s="5" t="s">
        <v>315</v>
      </c>
      <c r="R49" s="5" t="s">
        <v>316</v>
      </c>
      <c r="S49" s="5">
        <v>1711</v>
      </c>
      <c r="T49" s="5">
        <v>1486</v>
      </c>
      <c r="U49" s="8">
        <f t="shared" si="5"/>
        <v>1598.5</v>
      </c>
      <c r="V49" s="8">
        <f t="shared" si="6"/>
        <v>3.1970000000000001</v>
      </c>
      <c r="X49" t="s">
        <v>516</v>
      </c>
      <c r="Y49" t="s">
        <v>517</v>
      </c>
      <c r="Z49">
        <v>6618</v>
      </c>
      <c r="AA49" s="5" t="s">
        <v>520</v>
      </c>
      <c r="AB49" s="5" t="s">
        <v>521</v>
      </c>
      <c r="AC49" s="5">
        <v>24908</v>
      </c>
      <c r="AD49" s="5">
        <f t="shared" si="12"/>
        <v>13424</v>
      </c>
      <c r="AE49" s="8">
        <f t="shared" si="7"/>
        <v>19166</v>
      </c>
      <c r="AF49" s="8">
        <f t="shared" si="8"/>
        <v>38.332000000000001</v>
      </c>
    </row>
    <row r="50" spans="1:32" x14ac:dyDescent="0.25">
      <c r="A50" t="s">
        <v>87</v>
      </c>
      <c r="B50" t="s">
        <v>88</v>
      </c>
      <c r="C50">
        <v>470</v>
      </c>
      <c r="J50" s="5" t="s">
        <v>67</v>
      </c>
      <c r="K50" s="5" t="s">
        <v>95</v>
      </c>
      <c r="L50" s="5">
        <v>4152</v>
      </c>
      <c r="M50" s="7">
        <f t="shared" si="11"/>
        <v>3113</v>
      </c>
      <c r="N50" s="8">
        <f t="shared" si="3"/>
        <v>3632.5</v>
      </c>
      <c r="O50" s="8">
        <f t="shared" si="4"/>
        <v>7.2649999999999997</v>
      </c>
      <c r="Q50" s="5" t="s">
        <v>317</v>
      </c>
      <c r="R50" s="5" t="s">
        <v>318</v>
      </c>
      <c r="S50" s="5">
        <v>455</v>
      </c>
      <c r="T50" s="5">
        <v>4722</v>
      </c>
      <c r="U50" s="8">
        <f t="shared" si="5"/>
        <v>2588.5</v>
      </c>
      <c r="V50" s="8">
        <f t="shared" si="6"/>
        <v>5.1769999999999996</v>
      </c>
      <c r="X50" t="s">
        <v>518</v>
      </c>
      <c r="Y50" t="s">
        <v>519</v>
      </c>
      <c r="Z50">
        <v>13650</v>
      </c>
      <c r="AA50" s="5" t="s">
        <v>522</v>
      </c>
      <c r="AB50" s="5" t="s">
        <v>523</v>
      </c>
      <c r="AC50" s="5">
        <v>20726</v>
      </c>
      <c r="AD50" s="5">
        <f t="shared" si="12"/>
        <v>15005</v>
      </c>
      <c r="AE50" s="8">
        <f t="shared" si="7"/>
        <v>17865.5</v>
      </c>
      <c r="AF50" s="8">
        <f t="shared" si="8"/>
        <v>35.731000000000002</v>
      </c>
    </row>
    <row r="51" spans="1:32" x14ac:dyDescent="0.25">
      <c r="A51" t="s">
        <v>89</v>
      </c>
      <c r="B51" t="s">
        <v>90</v>
      </c>
      <c r="C51">
        <v>190</v>
      </c>
      <c r="J51" s="5" t="s">
        <v>96</v>
      </c>
      <c r="K51" s="5" t="s">
        <v>97</v>
      </c>
      <c r="L51" s="5">
        <v>3652</v>
      </c>
      <c r="M51" s="7">
        <f t="shared" si="11"/>
        <v>2309</v>
      </c>
      <c r="N51" s="8">
        <f t="shared" si="3"/>
        <v>2980.5</v>
      </c>
      <c r="O51" s="8">
        <f t="shared" si="4"/>
        <v>5.9610000000000003</v>
      </c>
      <c r="Q51" s="5" t="s">
        <v>319</v>
      </c>
      <c r="R51" s="5" t="s">
        <v>320</v>
      </c>
      <c r="S51" s="5">
        <v>2141</v>
      </c>
      <c r="T51" s="5">
        <v>3519</v>
      </c>
      <c r="U51" s="8">
        <f t="shared" si="5"/>
        <v>2830</v>
      </c>
      <c r="V51" s="8">
        <f t="shared" si="6"/>
        <v>5.66</v>
      </c>
      <c r="X51" t="s">
        <v>520</v>
      </c>
      <c r="Y51" t="s">
        <v>521</v>
      </c>
      <c r="Z51">
        <v>13424</v>
      </c>
      <c r="AA51" s="5" t="s">
        <v>524</v>
      </c>
      <c r="AB51" s="5" t="s">
        <v>525</v>
      </c>
      <c r="AC51" s="5">
        <v>14693</v>
      </c>
      <c r="AD51" s="5">
        <f t="shared" si="12"/>
        <v>7663</v>
      </c>
      <c r="AE51" s="8">
        <f t="shared" si="7"/>
        <v>11178</v>
      </c>
      <c r="AF51" s="8">
        <f t="shared" si="8"/>
        <v>22.356000000000002</v>
      </c>
    </row>
    <row r="52" spans="1:32" x14ac:dyDescent="0.25">
      <c r="A52" t="s">
        <v>91</v>
      </c>
      <c r="B52" t="s">
        <v>92</v>
      </c>
      <c r="C52">
        <v>0</v>
      </c>
      <c r="J52" s="5" t="s">
        <v>98</v>
      </c>
      <c r="K52" s="5" t="s">
        <v>99</v>
      </c>
      <c r="L52" s="5">
        <v>2778</v>
      </c>
      <c r="M52" s="7">
        <f t="shared" si="11"/>
        <v>1801</v>
      </c>
      <c r="N52" s="8">
        <f t="shared" si="3"/>
        <v>2289.5</v>
      </c>
      <c r="O52" s="8">
        <f t="shared" si="4"/>
        <v>4.5789999999999997</v>
      </c>
      <c r="Q52" s="5" t="s">
        <v>321</v>
      </c>
      <c r="R52" s="5" t="s">
        <v>322</v>
      </c>
      <c r="S52" s="5">
        <v>2791</v>
      </c>
      <c r="T52" s="5">
        <v>1665</v>
      </c>
      <c r="U52" s="8">
        <f t="shared" si="5"/>
        <v>2228</v>
      </c>
      <c r="V52" s="8">
        <f t="shared" si="6"/>
        <v>4.4560000000000004</v>
      </c>
      <c r="X52" t="s">
        <v>522</v>
      </c>
      <c r="Y52" t="s">
        <v>523</v>
      </c>
      <c r="Z52">
        <v>15005</v>
      </c>
      <c r="AA52" s="5" t="s">
        <v>526</v>
      </c>
      <c r="AB52" s="5" t="s">
        <v>527</v>
      </c>
      <c r="AC52" s="5">
        <v>41001</v>
      </c>
      <c r="AD52" s="5">
        <f t="shared" si="12"/>
        <v>18740</v>
      </c>
      <c r="AE52" s="8">
        <f t="shared" si="7"/>
        <v>29870.5</v>
      </c>
      <c r="AF52" s="8">
        <f t="shared" si="8"/>
        <v>59.741</v>
      </c>
    </row>
    <row r="53" spans="1:32" x14ac:dyDescent="0.25">
      <c r="A53" t="s">
        <v>93</v>
      </c>
      <c r="B53" t="s">
        <v>94</v>
      </c>
      <c r="C53">
        <v>437</v>
      </c>
      <c r="J53" s="5" t="s">
        <v>100</v>
      </c>
      <c r="K53" s="5" t="s">
        <v>101</v>
      </c>
      <c r="L53" s="5">
        <v>0</v>
      </c>
      <c r="M53" s="7">
        <f t="shared" si="11"/>
        <v>685</v>
      </c>
      <c r="N53" s="8">
        <f t="shared" si="3"/>
        <v>342.5</v>
      </c>
      <c r="O53" s="8">
        <f t="shared" si="4"/>
        <v>0.68500000000000005</v>
      </c>
      <c r="Q53" s="5" t="s">
        <v>323</v>
      </c>
      <c r="R53" s="5" t="s">
        <v>324</v>
      </c>
      <c r="S53" s="5">
        <v>3779</v>
      </c>
      <c r="T53" s="5">
        <v>2428</v>
      </c>
      <c r="U53" s="8">
        <f t="shared" si="5"/>
        <v>3103.5</v>
      </c>
      <c r="V53" s="8">
        <f t="shared" si="6"/>
        <v>6.2069999999999999</v>
      </c>
      <c r="X53" t="s">
        <v>524</v>
      </c>
      <c r="Y53" t="s">
        <v>525</v>
      </c>
      <c r="Z53">
        <v>7663</v>
      </c>
      <c r="AA53" s="5" t="s">
        <v>528</v>
      </c>
      <c r="AB53" s="5" t="s">
        <v>529</v>
      </c>
      <c r="AC53" s="5">
        <v>14383</v>
      </c>
      <c r="AD53" s="5">
        <f t="shared" si="12"/>
        <v>12755</v>
      </c>
      <c r="AE53" s="8">
        <f t="shared" si="7"/>
        <v>13569</v>
      </c>
      <c r="AF53" s="8">
        <f t="shared" si="8"/>
        <v>27.138000000000002</v>
      </c>
    </row>
    <row r="54" spans="1:32" x14ac:dyDescent="0.25">
      <c r="A54" t="s">
        <v>67</v>
      </c>
      <c r="B54" t="s">
        <v>95</v>
      </c>
      <c r="C54">
        <v>5612</v>
      </c>
      <c r="J54" s="5" t="s">
        <v>102</v>
      </c>
      <c r="K54" s="5" t="s">
        <v>103</v>
      </c>
      <c r="L54" s="5">
        <v>15</v>
      </c>
      <c r="M54" s="7">
        <f t="shared" si="11"/>
        <v>238</v>
      </c>
      <c r="N54" s="8">
        <f t="shared" si="3"/>
        <v>126.5</v>
      </c>
      <c r="O54" s="8">
        <f t="shared" si="4"/>
        <v>0.253</v>
      </c>
      <c r="Q54" s="5" t="s">
        <v>226</v>
      </c>
      <c r="R54" s="5" t="s">
        <v>325</v>
      </c>
      <c r="S54" s="5">
        <v>92</v>
      </c>
      <c r="T54" s="5">
        <v>99</v>
      </c>
      <c r="U54" s="8">
        <f t="shared" si="5"/>
        <v>95.5</v>
      </c>
      <c r="V54" s="8">
        <f t="shared" si="6"/>
        <v>0.191</v>
      </c>
      <c r="X54" t="s">
        <v>526</v>
      </c>
      <c r="Y54" t="s">
        <v>527</v>
      </c>
      <c r="Z54">
        <v>18740</v>
      </c>
      <c r="AA54" s="5" t="s">
        <v>530</v>
      </c>
      <c r="AB54" s="5" t="s">
        <v>531</v>
      </c>
      <c r="AC54" s="5">
        <v>14703</v>
      </c>
      <c r="AD54" s="5">
        <f t="shared" si="12"/>
        <v>8020</v>
      </c>
      <c r="AE54" s="8">
        <f t="shared" si="7"/>
        <v>11361.5</v>
      </c>
      <c r="AF54" s="8">
        <f t="shared" si="8"/>
        <v>22.722999999999999</v>
      </c>
    </row>
    <row r="55" spans="1:32" x14ac:dyDescent="0.25">
      <c r="A55" t="s">
        <v>96</v>
      </c>
      <c r="B55" t="s">
        <v>97</v>
      </c>
      <c r="C55">
        <v>2309</v>
      </c>
      <c r="J55" s="5" t="s">
        <v>104</v>
      </c>
      <c r="K55" s="5" t="s">
        <v>105</v>
      </c>
      <c r="L55" s="5">
        <v>3035</v>
      </c>
      <c r="M55" s="7">
        <f t="shared" si="11"/>
        <v>6325</v>
      </c>
      <c r="N55" s="8">
        <f t="shared" si="3"/>
        <v>4680</v>
      </c>
      <c r="O55" s="8">
        <f t="shared" si="4"/>
        <v>9.36</v>
      </c>
      <c r="Q55" s="5" t="s">
        <v>326</v>
      </c>
      <c r="R55" s="5" t="s">
        <v>327</v>
      </c>
      <c r="S55" s="5">
        <v>4273</v>
      </c>
      <c r="T55" s="5">
        <v>1782</v>
      </c>
      <c r="U55" s="8">
        <f t="shared" si="5"/>
        <v>3027.5</v>
      </c>
      <c r="V55" s="8">
        <f t="shared" si="6"/>
        <v>6.0549999999999997</v>
      </c>
      <c r="X55" t="s">
        <v>528</v>
      </c>
      <c r="Y55" t="s">
        <v>529</v>
      </c>
      <c r="Z55">
        <v>12755</v>
      </c>
      <c r="AA55" s="5" t="s">
        <v>433</v>
      </c>
      <c r="AB55" s="5" t="s">
        <v>532</v>
      </c>
      <c r="AC55" s="5">
        <v>6193</v>
      </c>
      <c r="AD55" s="5">
        <f t="shared" si="12"/>
        <v>1569</v>
      </c>
      <c r="AE55" s="8">
        <f t="shared" si="7"/>
        <v>3881</v>
      </c>
      <c r="AF55" s="8">
        <f t="shared" si="8"/>
        <v>7.7619999999999996</v>
      </c>
    </row>
    <row r="56" spans="1:32" x14ac:dyDescent="0.25">
      <c r="A56" t="s">
        <v>98</v>
      </c>
      <c r="B56" t="s">
        <v>99</v>
      </c>
      <c r="C56">
        <v>1801</v>
      </c>
      <c r="J56" s="5" t="s">
        <v>106</v>
      </c>
      <c r="K56" s="5" t="s">
        <v>107</v>
      </c>
      <c r="L56" s="5">
        <v>6413</v>
      </c>
      <c r="M56" s="7">
        <f t="shared" si="11"/>
        <v>1488</v>
      </c>
      <c r="N56" s="8">
        <f t="shared" si="3"/>
        <v>3950.5</v>
      </c>
      <c r="O56" s="8">
        <f t="shared" si="4"/>
        <v>7.9009999999999998</v>
      </c>
      <c r="Q56" s="5" t="s">
        <v>263</v>
      </c>
      <c r="R56" s="5" t="s">
        <v>328</v>
      </c>
      <c r="S56" s="5">
        <v>1328</v>
      </c>
      <c r="T56" s="5">
        <v>0</v>
      </c>
      <c r="U56" s="8">
        <f t="shared" si="5"/>
        <v>664</v>
      </c>
      <c r="V56" s="8">
        <f t="shared" si="6"/>
        <v>1.3280000000000001</v>
      </c>
      <c r="X56" t="s">
        <v>530</v>
      </c>
      <c r="Y56" t="s">
        <v>531</v>
      </c>
      <c r="Z56">
        <v>8020</v>
      </c>
      <c r="AA56" s="5" t="s">
        <v>533</v>
      </c>
      <c r="AB56" s="5" t="s">
        <v>534</v>
      </c>
      <c r="AC56" s="5">
        <v>1418</v>
      </c>
      <c r="AD56" s="5">
        <f t="shared" ref="AD56:AD57" si="13">VLOOKUP(AA56,$X$3:$Z$69,3,0)</f>
        <v>2754</v>
      </c>
      <c r="AE56" s="8">
        <f t="shared" si="7"/>
        <v>2086</v>
      </c>
      <c r="AF56" s="8">
        <f t="shared" si="8"/>
        <v>4.1719999999999997</v>
      </c>
    </row>
    <row r="57" spans="1:32" x14ac:dyDescent="0.25">
      <c r="A57" t="s">
        <v>100</v>
      </c>
      <c r="B57" t="s">
        <v>101</v>
      </c>
      <c r="C57">
        <v>685</v>
      </c>
      <c r="J57" s="5" t="s">
        <v>106</v>
      </c>
      <c r="K57" s="5" t="s">
        <v>108</v>
      </c>
      <c r="L57" s="5">
        <v>2583</v>
      </c>
      <c r="M57" s="7">
        <f t="shared" si="11"/>
        <v>1488</v>
      </c>
      <c r="N57" s="8">
        <f t="shared" si="3"/>
        <v>2035.5</v>
      </c>
      <c r="O57" s="8">
        <f t="shared" si="4"/>
        <v>4.0709999999999997</v>
      </c>
      <c r="Q57" s="5" t="s">
        <v>329</v>
      </c>
      <c r="R57" s="5" t="s">
        <v>330</v>
      </c>
      <c r="S57" s="5">
        <v>4670</v>
      </c>
      <c r="T57" s="5">
        <v>1767</v>
      </c>
      <c r="U57" s="8">
        <f t="shared" si="5"/>
        <v>3218.5</v>
      </c>
      <c r="V57" s="8">
        <f t="shared" si="6"/>
        <v>6.4370000000000003</v>
      </c>
      <c r="X57" t="s">
        <v>433</v>
      </c>
      <c r="Y57" t="s">
        <v>532</v>
      </c>
      <c r="Z57">
        <v>611</v>
      </c>
      <c r="AA57" s="5" t="s">
        <v>447</v>
      </c>
      <c r="AB57" s="5" t="s">
        <v>543</v>
      </c>
      <c r="AC57" s="5">
        <v>106</v>
      </c>
      <c r="AD57" s="5">
        <f t="shared" si="13"/>
        <v>2454</v>
      </c>
      <c r="AE57" s="8">
        <f t="shared" si="7"/>
        <v>1280</v>
      </c>
      <c r="AF57" s="8">
        <f t="shared" si="8"/>
        <v>2.56</v>
      </c>
    </row>
    <row r="58" spans="1:32" x14ac:dyDescent="0.25">
      <c r="A58" t="s">
        <v>102</v>
      </c>
      <c r="B58" t="s">
        <v>103</v>
      </c>
      <c r="C58">
        <v>238</v>
      </c>
      <c r="J58" s="5" t="s">
        <v>109</v>
      </c>
      <c r="K58" s="5" t="s">
        <v>110</v>
      </c>
      <c r="L58" s="5">
        <v>1278</v>
      </c>
      <c r="M58" s="7">
        <f t="shared" si="11"/>
        <v>1069</v>
      </c>
      <c r="N58" s="8">
        <f t="shared" si="3"/>
        <v>1173.5</v>
      </c>
      <c r="O58" s="8">
        <f t="shared" si="4"/>
        <v>2.347</v>
      </c>
      <c r="Q58" s="5" t="s">
        <v>261</v>
      </c>
      <c r="R58" s="5" t="s">
        <v>331</v>
      </c>
      <c r="S58" s="5">
        <v>10354</v>
      </c>
      <c r="T58" s="5">
        <v>5808</v>
      </c>
      <c r="U58" s="8">
        <f t="shared" si="5"/>
        <v>8081</v>
      </c>
      <c r="V58" s="8">
        <f t="shared" si="6"/>
        <v>16.161999999999999</v>
      </c>
      <c r="X58" t="s">
        <v>533</v>
      </c>
      <c r="Y58" t="s">
        <v>534</v>
      </c>
      <c r="Z58">
        <v>2754</v>
      </c>
    </row>
    <row r="59" spans="1:32" x14ac:dyDescent="0.25">
      <c r="A59" t="s">
        <v>104</v>
      </c>
      <c r="B59" t="s">
        <v>105</v>
      </c>
      <c r="C59">
        <v>6325</v>
      </c>
      <c r="J59" s="5" t="s">
        <v>111</v>
      </c>
      <c r="K59" s="5" t="s">
        <v>112</v>
      </c>
      <c r="L59" s="5">
        <v>2481</v>
      </c>
      <c r="M59" s="7">
        <f t="shared" si="11"/>
        <v>2526</v>
      </c>
      <c r="N59" s="8">
        <f t="shared" si="3"/>
        <v>2503.5</v>
      </c>
      <c r="O59" s="8">
        <f t="shared" si="4"/>
        <v>5.0069999999999997</v>
      </c>
      <c r="Q59" s="5" t="s">
        <v>332</v>
      </c>
      <c r="R59" s="5" t="s">
        <v>333</v>
      </c>
      <c r="S59" s="5">
        <v>9347</v>
      </c>
      <c r="T59" s="5">
        <v>5082</v>
      </c>
      <c r="U59" s="8">
        <f t="shared" si="5"/>
        <v>7214.5</v>
      </c>
      <c r="V59" s="8">
        <f t="shared" si="6"/>
        <v>14.429</v>
      </c>
      <c r="X59" t="s">
        <v>535</v>
      </c>
      <c r="Y59" t="s">
        <v>536</v>
      </c>
      <c r="Z59">
        <v>196</v>
      </c>
    </row>
    <row r="60" spans="1:32" x14ac:dyDescent="0.25">
      <c r="A60" t="s">
        <v>106</v>
      </c>
      <c r="B60" t="s">
        <v>107</v>
      </c>
      <c r="C60">
        <v>1488</v>
      </c>
      <c r="J60" s="5" t="s">
        <v>113</v>
      </c>
      <c r="K60" s="5" t="s">
        <v>114</v>
      </c>
      <c r="L60" s="5">
        <v>582</v>
      </c>
      <c r="M60" s="7">
        <f t="shared" si="11"/>
        <v>143</v>
      </c>
      <c r="N60" s="8">
        <f t="shared" si="3"/>
        <v>362.5</v>
      </c>
      <c r="O60" s="8">
        <f t="shared" si="4"/>
        <v>0.72499999999999998</v>
      </c>
      <c r="Q60" s="5" t="s">
        <v>334</v>
      </c>
      <c r="R60" s="5" t="s">
        <v>335</v>
      </c>
      <c r="S60" s="5">
        <v>7396</v>
      </c>
      <c r="T60" s="5">
        <v>3314</v>
      </c>
      <c r="U60" s="8">
        <f t="shared" si="5"/>
        <v>5355</v>
      </c>
      <c r="V60" s="8">
        <f t="shared" si="6"/>
        <v>10.71</v>
      </c>
      <c r="X60" t="s">
        <v>537</v>
      </c>
      <c r="Y60" t="s">
        <v>538</v>
      </c>
      <c r="Z60">
        <v>1383</v>
      </c>
    </row>
    <row r="61" spans="1:32" x14ac:dyDescent="0.25">
      <c r="A61" t="s">
        <v>106</v>
      </c>
      <c r="B61" t="s">
        <v>108</v>
      </c>
      <c r="C61">
        <v>1798</v>
      </c>
      <c r="J61" s="5" t="s">
        <v>115</v>
      </c>
      <c r="K61" s="5" t="s">
        <v>116</v>
      </c>
      <c r="L61" s="5">
        <v>2971</v>
      </c>
      <c r="M61" s="7">
        <f t="shared" si="11"/>
        <v>1769</v>
      </c>
      <c r="N61" s="8">
        <f t="shared" si="3"/>
        <v>2370</v>
      </c>
      <c r="O61" s="8">
        <f t="shared" si="4"/>
        <v>4.74</v>
      </c>
      <c r="Q61" s="5" t="s">
        <v>291</v>
      </c>
      <c r="R61" s="5" t="s">
        <v>336</v>
      </c>
      <c r="S61" s="5">
        <v>2668</v>
      </c>
      <c r="T61" s="5">
        <v>931</v>
      </c>
      <c r="U61" s="8">
        <f t="shared" si="5"/>
        <v>1799.5</v>
      </c>
      <c r="V61" s="8">
        <f t="shared" si="6"/>
        <v>3.5990000000000002</v>
      </c>
      <c r="X61" t="s">
        <v>539</v>
      </c>
      <c r="Y61" t="s">
        <v>540</v>
      </c>
      <c r="Z61">
        <v>7</v>
      </c>
    </row>
    <row r="62" spans="1:32" x14ac:dyDescent="0.25">
      <c r="A62" t="s">
        <v>109</v>
      </c>
      <c r="B62" t="s">
        <v>110</v>
      </c>
      <c r="C62">
        <v>1069</v>
      </c>
      <c r="J62" s="5" t="s">
        <v>117</v>
      </c>
      <c r="K62" s="5" t="s">
        <v>118</v>
      </c>
      <c r="L62" s="5">
        <v>3842</v>
      </c>
      <c r="M62" s="7">
        <f t="shared" si="11"/>
        <v>4306</v>
      </c>
      <c r="N62" s="8">
        <f t="shared" si="3"/>
        <v>4074</v>
      </c>
      <c r="O62" s="8">
        <f t="shared" si="4"/>
        <v>8.1479999999999997</v>
      </c>
      <c r="Q62" s="5" t="s">
        <v>337</v>
      </c>
      <c r="R62" s="5" t="s">
        <v>338</v>
      </c>
      <c r="S62" s="5">
        <v>12802</v>
      </c>
      <c r="T62" s="5">
        <v>5355</v>
      </c>
      <c r="U62" s="8">
        <f t="shared" si="5"/>
        <v>9078.5</v>
      </c>
      <c r="V62" s="8">
        <f t="shared" si="6"/>
        <v>18.157</v>
      </c>
      <c r="X62" t="s">
        <v>541</v>
      </c>
      <c r="Y62" t="s">
        <v>542</v>
      </c>
      <c r="Z62">
        <v>18</v>
      </c>
    </row>
    <row r="63" spans="1:32" x14ac:dyDescent="0.25">
      <c r="A63" t="s">
        <v>111</v>
      </c>
      <c r="B63" t="s">
        <v>112</v>
      </c>
      <c r="C63">
        <v>2526</v>
      </c>
      <c r="J63" s="5" t="s">
        <v>119</v>
      </c>
      <c r="K63" s="5" t="s">
        <v>120</v>
      </c>
      <c r="L63" s="5">
        <v>716</v>
      </c>
      <c r="M63" s="7">
        <f t="shared" si="11"/>
        <v>743</v>
      </c>
      <c r="N63" s="8">
        <f t="shared" si="3"/>
        <v>729.5</v>
      </c>
      <c r="O63" s="8">
        <f t="shared" si="4"/>
        <v>1.4590000000000001</v>
      </c>
      <c r="Q63" s="5" t="s">
        <v>339</v>
      </c>
      <c r="R63" s="5" t="s">
        <v>340</v>
      </c>
      <c r="S63" s="5">
        <v>3340</v>
      </c>
      <c r="T63" s="5">
        <v>3676</v>
      </c>
      <c r="U63" s="8">
        <f t="shared" si="5"/>
        <v>3508</v>
      </c>
      <c r="V63" s="8">
        <f t="shared" si="6"/>
        <v>7.016</v>
      </c>
      <c r="X63" t="s">
        <v>447</v>
      </c>
      <c r="Y63" t="s">
        <v>543</v>
      </c>
      <c r="Z63">
        <v>54</v>
      </c>
    </row>
    <row r="64" spans="1:32" x14ac:dyDescent="0.25">
      <c r="A64" t="s">
        <v>113</v>
      </c>
      <c r="B64" t="s">
        <v>114</v>
      </c>
      <c r="C64">
        <v>143</v>
      </c>
      <c r="J64" s="5" t="s">
        <v>121</v>
      </c>
      <c r="K64" s="5" t="s">
        <v>122</v>
      </c>
      <c r="L64" s="5">
        <v>1437</v>
      </c>
      <c r="M64" s="7">
        <f t="shared" si="11"/>
        <v>1067</v>
      </c>
      <c r="N64" s="8">
        <f t="shared" si="3"/>
        <v>1252</v>
      </c>
      <c r="O64" s="8">
        <f t="shared" si="4"/>
        <v>2.504</v>
      </c>
      <c r="Q64" s="5" t="s">
        <v>247</v>
      </c>
      <c r="R64" s="5" t="s">
        <v>341</v>
      </c>
      <c r="S64" s="5">
        <v>1952</v>
      </c>
      <c r="T64" s="5">
        <v>1788</v>
      </c>
      <c r="U64" s="8">
        <f t="shared" si="5"/>
        <v>1870</v>
      </c>
      <c r="V64" s="8">
        <f t="shared" si="6"/>
        <v>3.74</v>
      </c>
      <c r="X64" t="s">
        <v>429</v>
      </c>
      <c r="Y64" t="s">
        <v>544</v>
      </c>
      <c r="Z64">
        <v>194</v>
      </c>
    </row>
    <row r="65" spans="1:26" x14ac:dyDescent="0.25">
      <c r="A65" t="s">
        <v>115</v>
      </c>
      <c r="B65" t="s">
        <v>116</v>
      </c>
      <c r="C65">
        <v>1769</v>
      </c>
      <c r="J65" s="5" t="s">
        <v>123</v>
      </c>
      <c r="K65" s="5" t="s">
        <v>124</v>
      </c>
      <c r="L65" s="5">
        <v>0</v>
      </c>
      <c r="M65" s="7">
        <f t="shared" si="11"/>
        <v>836</v>
      </c>
      <c r="N65" s="8">
        <f t="shared" si="3"/>
        <v>418</v>
      </c>
      <c r="O65" s="8">
        <f t="shared" si="4"/>
        <v>0.83599999999999997</v>
      </c>
      <c r="Q65" s="5" t="s">
        <v>342</v>
      </c>
      <c r="R65" s="5" t="s">
        <v>343</v>
      </c>
      <c r="S65" s="5">
        <v>5195</v>
      </c>
      <c r="T65" s="5">
        <v>2429</v>
      </c>
      <c r="U65" s="8">
        <f t="shared" si="5"/>
        <v>3812</v>
      </c>
      <c r="V65" s="8">
        <f t="shared" si="6"/>
        <v>7.6239999999999997</v>
      </c>
      <c r="X65" t="s">
        <v>431</v>
      </c>
      <c r="Y65" t="s">
        <v>545</v>
      </c>
      <c r="Z65">
        <v>979</v>
      </c>
    </row>
    <row r="66" spans="1:26" x14ac:dyDescent="0.25">
      <c r="A66" t="s">
        <v>117</v>
      </c>
      <c r="B66" t="s">
        <v>118</v>
      </c>
      <c r="C66">
        <v>4306</v>
      </c>
      <c r="J66" s="5" t="s">
        <v>125</v>
      </c>
      <c r="K66" s="5" t="s">
        <v>126</v>
      </c>
      <c r="L66" s="5">
        <v>2964</v>
      </c>
      <c r="M66" s="7">
        <f t="shared" si="11"/>
        <v>1368</v>
      </c>
      <c r="N66" s="8">
        <f t="shared" si="3"/>
        <v>2166</v>
      </c>
      <c r="O66" s="8">
        <f t="shared" si="4"/>
        <v>4.3319999999999999</v>
      </c>
      <c r="Q66" s="5" t="s">
        <v>344</v>
      </c>
      <c r="R66" s="5" t="s">
        <v>345</v>
      </c>
      <c r="S66" s="5">
        <v>9688</v>
      </c>
      <c r="T66" s="5">
        <v>5656</v>
      </c>
      <c r="U66" s="8">
        <f t="shared" si="5"/>
        <v>7672</v>
      </c>
      <c r="V66" s="8">
        <f t="shared" si="6"/>
        <v>15.343999999999999</v>
      </c>
      <c r="X66" t="s">
        <v>546</v>
      </c>
      <c r="Y66" t="s">
        <v>547</v>
      </c>
      <c r="Z66">
        <v>4936</v>
      </c>
    </row>
    <row r="67" spans="1:26" x14ac:dyDescent="0.25">
      <c r="A67" t="s">
        <v>119</v>
      </c>
      <c r="B67" t="s">
        <v>120</v>
      </c>
      <c r="C67">
        <v>743</v>
      </c>
      <c r="J67" s="5" t="s">
        <v>127</v>
      </c>
      <c r="K67" s="5" t="s">
        <v>128</v>
      </c>
      <c r="L67" s="5">
        <v>29</v>
      </c>
      <c r="M67" s="7">
        <f t="shared" ref="M67:M98" si="14">VLOOKUP(J67,$A$4:$C$130,3,0)</f>
        <v>36</v>
      </c>
      <c r="N67" s="8">
        <f t="shared" si="3"/>
        <v>32.5</v>
      </c>
      <c r="O67" s="8">
        <f t="shared" si="4"/>
        <v>6.5000000000000002E-2</v>
      </c>
      <c r="Q67" s="5" t="s">
        <v>346</v>
      </c>
      <c r="R67" s="5" t="s">
        <v>347</v>
      </c>
      <c r="S67" s="5">
        <v>6327</v>
      </c>
      <c r="T67" s="5">
        <v>3548</v>
      </c>
      <c r="U67" s="8">
        <f t="shared" si="5"/>
        <v>4937.5</v>
      </c>
      <c r="V67" s="8">
        <f t="shared" si="6"/>
        <v>9.875</v>
      </c>
      <c r="X67" t="s">
        <v>548</v>
      </c>
      <c r="Y67" t="s">
        <v>549</v>
      </c>
      <c r="Z67">
        <v>9084</v>
      </c>
    </row>
    <row r="68" spans="1:26" x14ac:dyDescent="0.25">
      <c r="A68" t="s">
        <v>121</v>
      </c>
      <c r="B68" t="s">
        <v>122</v>
      </c>
      <c r="C68">
        <v>1067</v>
      </c>
      <c r="J68" s="5" t="s">
        <v>129</v>
      </c>
      <c r="K68" s="5" t="s">
        <v>130</v>
      </c>
      <c r="L68" s="5">
        <v>2724</v>
      </c>
      <c r="M68" s="7">
        <f t="shared" si="14"/>
        <v>2132</v>
      </c>
      <c r="N68" s="8">
        <f t="shared" ref="N68:N123" si="15">MEDIAN(L68:M68)</f>
        <v>2428</v>
      </c>
      <c r="O68" s="8">
        <f t="shared" ref="O68:O123" si="16">N68/500</f>
        <v>4.8559999999999999</v>
      </c>
      <c r="Q68" s="5" t="s">
        <v>349</v>
      </c>
      <c r="R68" s="5" t="s">
        <v>350</v>
      </c>
      <c r="S68" s="5">
        <v>4374</v>
      </c>
      <c r="T68" s="5">
        <v>2429</v>
      </c>
      <c r="U68" s="8">
        <f t="shared" ref="U68:U109" si="17">MEDIAN(S68:T68)</f>
        <v>3401.5</v>
      </c>
      <c r="V68" s="8">
        <f t="shared" ref="V68:V109" si="18">U68/500</f>
        <v>6.8029999999999999</v>
      </c>
      <c r="X68" t="s">
        <v>550</v>
      </c>
      <c r="Y68" t="s">
        <v>551</v>
      </c>
      <c r="Z68">
        <v>0</v>
      </c>
    </row>
    <row r="69" spans="1:26" x14ac:dyDescent="0.25">
      <c r="A69" t="s">
        <v>123</v>
      </c>
      <c r="B69" t="s">
        <v>124</v>
      </c>
      <c r="C69">
        <v>836</v>
      </c>
      <c r="J69" s="5" t="s">
        <v>131</v>
      </c>
      <c r="K69" s="5" t="s">
        <v>132</v>
      </c>
      <c r="L69" s="5">
        <v>0</v>
      </c>
      <c r="M69" s="7">
        <f t="shared" si="14"/>
        <v>1866</v>
      </c>
      <c r="N69" s="8">
        <f t="shared" si="15"/>
        <v>933</v>
      </c>
      <c r="O69" s="8">
        <f t="shared" si="16"/>
        <v>1.8660000000000001</v>
      </c>
      <c r="Q69" s="5" t="s">
        <v>351</v>
      </c>
      <c r="R69" s="5" t="s">
        <v>352</v>
      </c>
      <c r="S69" s="5">
        <v>4816</v>
      </c>
      <c r="T69" s="5">
        <v>2672</v>
      </c>
      <c r="U69" s="8">
        <f t="shared" si="17"/>
        <v>3744</v>
      </c>
      <c r="V69" s="8">
        <f t="shared" si="18"/>
        <v>7.4880000000000004</v>
      </c>
      <c r="X69" t="s">
        <v>552</v>
      </c>
      <c r="Y69" t="s">
        <v>553</v>
      </c>
      <c r="Z69">
        <v>2957</v>
      </c>
    </row>
    <row r="70" spans="1:26" x14ac:dyDescent="0.25">
      <c r="A70" t="s">
        <v>125</v>
      </c>
      <c r="B70" t="s">
        <v>126</v>
      </c>
      <c r="C70">
        <v>1368</v>
      </c>
      <c r="J70" s="5" t="s">
        <v>133</v>
      </c>
      <c r="K70" s="5" t="s">
        <v>134</v>
      </c>
      <c r="L70" s="5">
        <v>5029</v>
      </c>
      <c r="M70" s="7">
        <f t="shared" si="14"/>
        <v>3269</v>
      </c>
      <c r="N70" s="8">
        <f t="shared" si="15"/>
        <v>4149</v>
      </c>
      <c r="O70" s="8">
        <f t="shared" si="16"/>
        <v>8.298</v>
      </c>
      <c r="Q70" s="5" t="s">
        <v>323</v>
      </c>
      <c r="R70" s="5" t="s">
        <v>353</v>
      </c>
      <c r="S70" s="5">
        <v>2970</v>
      </c>
      <c r="T70" s="5">
        <v>0</v>
      </c>
      <c r="U70" s="8">
        <f t="shared" si="17"/>
        <v>1485</v>
      </c>
      <c r="V70" s="8">
        <f t="shared" si="18"/>
        <v>2.97</v>
      </c>
    </row>
    <row r="71" spans="1:26" x14ac:dyDescent="0.25">
      <c r="A71" t="s">
        <v>127</v>
      </c>
      <c r="B71" t="s">
        <v>128</v>
      </c>
      <c r="C71">
        <v>36</v>
      </c>
      <c r="J71" s="5" t="s">
        <v>135</v>
      </c>
      <c r="K71" s="5" t="s">
        <v>136</v>
      </c>
      <c r="L71" s="5">
        <v>0</v>
      </c>
      <c r="M71" s="7">
        <f t="shared" si="14"/>
        <v>1492</v>
      </c>
      <c r="N71" s="8">
        <f t="shared" si="15"/>
        <v>746</v>
      </c>
      <c r="O71" s="8">
        <f t="shared" si="16"/>
        <v>1.492</v>
      </c>
      <c r="Q71" s="5" t="s">
        <v>354</v>
      </c>
      <c r="R71" s="5" t="s">
        <v>355</v>
      </c>
      <c r="S71" s="5">
        <v>8872</v>
      </c>
      <c r="T71" s="5">
        <v>0</v>
      </c>
      <c r="U71" s="8">
        <f t="shared" si="17"/>
        <v>4436</v>
      </c>
      <c r="V71" s="8">
        <f t="shared" si="18"/>
        <v>8.8719999999999999</v>
      </c>
    </row>
    <row r="72" spans="1:26" x14ac:dyDescent="0.25">
      <c r="A72" t="s">
        <v>129</v>
      </c>
      <c r="B72" t="s">
        <v>130</v>
      </c>
      <c r="C72">
        <v>2132</v>
      </c>
      <c r="J72" s="5" t="s">
        <v>135</v>
      </c>
      <c r="K72" s="5" t="s">
        <v>137</v>
      </c>
      <c r="L72" s="5">
        <v>1458</v>
      </c>
      <c r="M72" s="7">
        <f t="shared" si="14"/>
        <v>1492</v>
      </c>
      <c r="N72" s="8">
        <f t="shared" si="15"/>
        <v>1475</v>
      </c>
      <c r="O72" s="8">
        <f t="shared" si="16"/>
        <v>2.95</v>
      </c>
      <c r="Q72" s="5" t="s">
        <v>356</v>
      </c>
      <c r="R72" s="5" t="s">
        <v>357</v>
      </c>
      <c r="S72" s="5">
        <v>0</v>
      </c>
      <c r="T72" s="5">
        <v>6299</v>
      </c>
      <c r="U72" s="8">
        <f t="shared" si="17"/>
        <v>3149.5</v>
      </c>
      <c r="V72" s="8">
        <f t="shared" si="18"/>
        <v>6.2990000000000004</v>
      </c>
    </row>
    <row r="73" spans="1:26" x14ac:dyDescent="0.25">
      <c r="A73" t="s">
        <v>131</v>
      </c>
      <c r="B73" t="s">
        <v>132</v>
      </c>
      <c r="C73">
        <v>1866</v>
      </c>
      <c r="J73" s="5" t="s">
        <v>135</v>
      </c>
      <c r="K73" s="5" t="s">
        <v>138</v>
      </c>
      <c r="L73" s="5">
        <v>725</v>
      </c>
      <c r="M73" s="7">
        <f t="shared" si="14"/>
        <v>1492</v>
      </c>
      <c r="N73" s="8">
        <f t="shared" si="15"/>
        <v>1108.5</v>
      </c>
      <c r="O73" s="8">
        <f t="shared" si="16"/>
        <v>2.2170000000000001</v>
      </c>
      <c r="Q73" s="5" t="s">
        <v>348</v>
      </c>
      <c r="R73" s="5" t="s">
        <v>358</v>
      </c>
      <c r="S73" s="5">
        <v>2221</v>
      </c>
      <c r="T73" s="5">
        <v>2591</v>
      </c>
      <c r="U73" s="8">
        <f t="shared" si="17"/>
        <v>2406</v>
      </c>
      <c r="V73" s="8">
        <f t="shared" si="18"/>
        <v>4.8120000000000003</v>
      </c>
    </row>
    <row r="74" spans="1:26" x14ac:dyDescent="0.25">
      <c r="A74" t="s">
        <v>133</v>
      </c>
      <c r="B74" t="s">
        <v>134</v>
      </c>
      <c r="C74">
        <v>3269</v>
      </c>
      <c r="J74" s="5" t="s">
        <v>139</v>
      </c>
      <c r="K74" s="5" t="s">
        <v>140</v>
      </c>
      <c r="L74" s="5">
        <v>3630</v>
      </c>
      <c r="M74" s="7">
        <f t="shared" si="14"/>
        <v>7067</v>
      </c>
      <c r="N74" s="8">
        <f t="shared" si="15"/>
        <v>5348.5</v>
      </c>
      <c r="O74" s="8">
        <f t="shared" si="16"/>
        <v>10.696999999999999</v>
      </c>
      <c r="Q74" s="5" t="s">
        <v>359</v>
      </c>
      <c r="R74" s="5" t="s">
        <v>360</v>
      </c>
      <c r="S74" s="5">
        <v>766</v>
      </c>
      <c r="T74" s="5">
        <v>393</v>
      </c>
      <c r="U74" s="8">
        <f t="shared" si="17"/>
        <v>579.5</v>
      </c>
      <c r="V74" s="8">
        <f t="shared" si="18"/>
        <v>1.159</v>
      </c>
    </row>
    <row r="75" spans="1:26" x14ac:dyDescent="0.25">
      <c r="A75" t="s">
        <v>135</v>
      </c>
      <c r="B75" t="s">
        <v>136</v>
      </c>
      <c r="C75">
        <v>1492</v>
      </c>
      <c r="J75" s="5" t="s">
        <v>141</v>
      </c>
      <c r="K75" s="5" t="s">
        <v>142</v>
      </c>
      <c r="L75" s="5">
        <v>1095</v>
      </c>
      <c r="M75" s="7">
        <f t="shared" si="14"/>
        <v>3167</v>
      </c>
      <c r="N75" s="8">
        <f t="shared" si="15"/>
        <v>2131</v>
      </c>
      <c r="O75" s="8">
        <f t="shared" si="16"/>
        <v>4.2619999999999996</v>
      </c>
      <c r="Q75" s="5" t="s">
        <v>361</v>
      </c>
      <c r="R75" s="5" t="s">
        <v>362</v>
      </c>
      <c r="S75" s="5">
        <v>9028</v>
      </c>
      <c r="T75" s="5">
        <v>1583</v>
      </c>
      <c r="U75" s="8">
        <f t="shared" si="17"/>
        <v>5305.5</v>
      </c>
      <c r="V75" s="8">
        <f t="shared" si="18"/>
        <v>10.611000000000001</v>
      </c>
    </row>
    <row r="76" spans="1:26" x14ac:dyDescent="0.25">
      <c r="A76" t="s">
        <v>135</v>
      </c>
      <c r="B76" t="s">
        <v>137</v>
      </c>
      <c r="C76">
        <v>877</v>
      </c>
      <c r="J76" s="5" t="s">
        <v>143</v>
      </c>
      <c r="K76" s="5" t="s">
        <v>144</v>
      </c>
      <c r="L76" s="5">
        <v>4892</v>
      </c>
      <c r="M76" s="7">
        <f t="shared" si="14"/>
        <v>0</v>
      </c>
      <c r="N76" s="8">
        <f t="shared" si="15"/>
        <v>2446</v>
      </c>
      <c r="O76" s="8">
        <f t="shared" si="16"/>
        <v>4.8920000000000003</v>
      </c>
      <c r="Q76" s="5" t="s">
        <v>363</v>
      </c>
      <c r="R76" s="5" t="s">
        <v>364</v>
      </c>
      <c r="S76" s="5">
        <v>1379</v>
      </c>
      <c r="T76" s="5">
        <v>1439</v>
      </c>
      <c r="U76" s="8">
        <f t="shared" si="17"/>
        <v>1409</v>
      </c>
      <c r="V76" s="8">
        <f t="shared" si="18"/>
        <v>2.8180000000000001</v>
      </c>
    </row>
    <row r="77" spans="1:26" x14ac:dyDescent="0.25">
      <c r="A77" t="s">
        <v>135</v>
      </c>
      <c r="B77" t="s">
        <v>138</v>
      </c>
      <c r="C77">
        <v>1054</v>
      </c>
      <c r="J77" s="5" t="s">
        <v>40</v>
      </c>
      <c r="K77" s="5" t="s">
        <v>220</v>
      </c>
      <c r="L77" s="5">
        <v>19206</v>
      </c>
      <c r="M77" s="7">
        <f t="shared" si="14"/>
        <v>10623</v>
      </c>
      <c r="N77" s="8">
        <f t="shared" si="15"/>
        <v>14914.5</v>
      </c>
      <c r="O77" s="8">
        <f t="shared" si="16"/>
        <v>29.829000000000001</v>
      </c>
      <c r="Q77" s="5" t="s">
        <v>249</v>
      </c>
      <c r="R77" s="5" t="s">
        <v>365</v>
      </c>
      <c r="S77" s="5">
        <v>9450</v>
      </c>
      <c r="T77" s="5">
        <v>6394</v>
      </c>
      <c r="U77" s="8">
        <f t="shared" si="17"/>
        <v>7922</v>
      </c>
      <c r="V77" s="8">
        <f t="shared" si="18"/>
        <v>15.843999999999999</v>
      </c>
    </row>
    <row r="78" spans="1:26" x14ac:dyDescent="0.25">
      <c r="A78" t="s">
        <v>139</v>
      </c>
      <c r="B78" t="s">
        <v>140</v>
      </c>
      <c r="C78">
        <v>7067</v>
      </c>
      <c r="J78" s="5" t="s">
        <v>33</v>
      </c>
      <c r="K78" s="5" t="s">
        <v>147</v>
      </c>
      <c r="L78" s="5">
        <v>1163</v>
      </c>
      <c r="M78" s="7">
        <f t="shared" si="14"/>
        <v>1219</v>
      </c>
      <c r="N78" s="8">
        <f t="shared" si="15"/>
        <v>1191</v>
      </c>
      <c r="O78" s="8">
        <f t="shared" si="16"/>
        <v>2.3820000000000001</v>
      </c>
      <c r="Q78" s="5" t="s">
        <v>366</v>
      </c>
      <c r="R78" s="5" t="s">
        <v>367</v>
      </c>
      <c r="S78" s="5">
        <v>1534</v>
      </c>
      <c r="T78" s="5">
        <v>995</v>
      </c>
      <c r="U78" s="8">
        <f t="shared" si="17"/>
        <v>1264.5</v>
      </c>
      <c r="V78" s="8">
        <f t="shared" si="18"/>
        <v>2.5289999999999999</v>
      </c>
    </row>
    <row r="79" spans="1:26" x14ac:dyDescent="0.25">
      <c r="A79" t="s">
        <v>141</v>
      </c>
      <c r="B79" t="s">
        <v>142</v>
      </c>
      <c r="C79">
        <v>3167</v>
      </c>
      <c r="J79" s="5" t="s">
        <v>69</v>
      </c>
      <c r="K79" s="5" t="s">
        <v>148</v>
      </c>
      <c r="L79" s="5">
        <v>4456</v>
      </c>
      <c r="M79" s="7">
        <f t="shared" si="14"/>
        <v>237</v>
      </c>
      <c r="N79" s="8">
        <f t="shared" si="15"/>
        <v>2346.5</v>
      </c>
      <c r="O79" s="8">
        <f t="shared" si="16"/>
        <v>4.6929999999999996</v>
      </c>
      <c r="Q79" s="5" t="s">
        <v>368</v>
      </c>
      <c r="R79" s="5" t="s">
        <v>369</v>
      </c>
      <c r="S79" s="5">
        <v>5597</v>
      </c>
      <c r="T79" s="5">
        <v>2731</v>
      </c>
      <c r="U79" s="8">
        <f t="shared" si="17"/>
        <v>4164</v>
      </c>
      <c r="V79" s="8">
        <f t="shared" si="18"/>
        <v>8.3279999999999994</v>
      </c>
    </row>
    <row r="80" spans="1:26" x14ac:dyDescent="0.25">
      <c r="A80" t="s">
        <v>143</v>
      </c>
      <c r="B80" t="s">
        <v>144</v>
      </c>
      <c r="C80">
        <v>0</v>
      </c>
      <c r="J80" s="5" t="s">
        <v>149</v>
      </c>
      <c r="K80" s="5" t="s">
        <v>150</v>
      </c>
      <c r="L80" s="5">
        <v>2747</v>
      </c>
      <c r="M80" s="7">
        <f t="shared" si="14"/>
        <v>2316</v>
      </c>
      <c r="N80" s="8">
        <f t="shared" si="15"/>
        <v>2531.5</v>
      </c>
      <c r="O80" s="8">
        <f t="shared" si="16"/>
        <v>5.0629999999999997</v>
      </c>
      <c r="Q80" s="5" t="s">
        <v>370</v>
      </c>
      <c r="R80" s="5" t="s">
        <v>371</v>
      </c>
      <c r="S80" s="5">
        <v>444</v>
      </c>
      <c r="T80" s="5">
        <v>376</v>
      </c>
      <c r="U80" s="8">
        <f t="shared" si="17"/>
        <v>410</v>
      </c>
      <c r="V80" s="8">
        <f t="shared" si="18"/>
        <v>0.82</v>
      </c>
    </row>
    <row r="81" spans="1:22" x14ac:dyDescent="0.25">
      <c r="A81" t="s">
        <v>145</v>
      </c>
      <c r="B81" t="s">
        <v>146</v>
      </c>
      <c r="C81">
        <v>551</v>
      </c>
      <c r="J81" s="5" t="s">
        <v>46</v>
      </c>
      <c r="K81" s="5" t="s">
        <v>151</v>
      </c>
      <c r="L81" s="5">
        <v>2396</v>
      </c>
      <c r="M81" s="7">
        <f t="shared" si="14"/>
        <v>505</v>
      </c>
      <c r="N81" s="8">
        <f t="shared" si="15"/>
        <v>1450.5</v>
      </c>
      <c r="O81" s="8">
        <f t="shared" si="16"/>
        <v>2.9009999999999998</v>
      </c>
      <c r="Q81" s="5" t="s">
        <v>287</v>
      </c>
      <c r="R81" s="5" t="s">
        <v>372</v>
      </c>
      <c r="S81" s="5">
        <v>8382</v>
      </c>
      <c r="T81" s="5">
        <v>5587</v>
      </c>
      <c r="U81" s="8">
        <f t="shared" si="17"/>
        <v>6984.5</v>
      </c>
      <c r="V81" s="8">
        <f t="shared" si="18"/>
        <v>13.968999999999999</v>
      </c>
    </row>
    <row r="82" spans="1:22" x14ac:dyDescent="0.25">
      <c r="A82" t="s">
        <v>33</v>
      </c>
      <c r="B82" t="s">
        <v>147</v>
      </c>
      <c r="C82">
        <v>3</v>
      </c>
      <c r="J82" s="5" t="s">
        <v>152</v>
      </c>
      <c r="K82" s="5" t="s">
        <v>153</v>
      </c>
      <c r="L82" s="5">
        <v>1503</v>
      </c>
      <c r="M82" s="7">
        <f t="shared" si="14"/>
        <v>873</v>
      </c>
      <c r="N82" s="8">
        <f t="shared" si="15"/>
        <v>1188</v>
      </c>
      <c r="O82" s="8">
        <f t="shared" si="16"/>
        <v>2.3759999999999999</v>
      </c>
      <c r="Q82" s="5" t="s">
        <v>245</v>
      </c>
      <c r="R82" s="5" t="s">
        <v>373</v>
      </c>
      <c r="S82" s="5">
        <v>8522</v>
      </c>
      <c r="T82" s="5">
        <v>3202</v>
      </c>
      <c r="U82" s="8">
        <f t="shared" si="17"/>
        <v>5862</v>
      </c>
      <c r="V82" s="8">
        <f t="shared" si="18"/>
        <v>11.724</v>
      </c>
    </row>
    <row r="83" spans="1:22" x14ac:dyDescent="0.25">
      <c r="A83" t="s">
        <v>69</v>
      </c>
      <c r="B83" t="s">
        <v>148</v>
      </c>
      <c r="C83">
        <v>972</v>
      </c>
      <c r="J83" s="5" t="s">
        <v>5</v>
      </c>
      <c r="K83" s="5" t="s">
        <v>221</v>
      </c>
      <c r="L83" s="5">
        <v>1045</v>
      </c>
      <c r="M83" s="7">
        <f t="shared" si="14"/>
        <v>6625</v>
      </c>
      <c r="N83" s="8">
        <f t="shared" si="15"/>
        <v>3835</v>
      </c>
      <c r="O83" s="8">
        <f t="shared" si="16"/>
        <v>7.67</v>
      </c>
      <c r="Q83" s="5" t="s">
        <v>279</v>
      </c>
      <c r="R83" s="5" t="s">
        <v>374</v>
      </c>
      <c r="S83" s="5">
        <v>10907</v>
      </c>
      <c r="T83" s="5">
        <v>5817</v>
      </c>
      <c r="U83" s="8">
        <f t="shared" si="17"/>
        <v>8362</v>
      </c>
      <c r="V83" s="8">
        <f t="shared" si="18"/>
        <v>16.724</v>
      </c>
    </row>
    <row r="84" spans="1:22" x14ac:dyDescent="0.25">
      <c r="A84" t="s">
        <v>149</v>
      </c>
      <c r="B84" t="s">
        <v>150</v>
      </c>
      <c r="C84">
        <v>2316</v>
      </c>
      <c r="J84" s="5" t="s">
        <v>14</v>
      </c>
      <c r="K84" s="5" t="s">
        <v>156</v>
      </c>
      <c r="L84" s="5">
        <v>346</v>
      </c>
      <c r="M84" s="7">
        <f t="shared" si="14"/>
        <v>2251</v>
      </c>
      <c r="N84" s="8">
        <f t="shared" si="15"/>
        <v>1298.5</v>
      </c>
      <c r="O84" s="8">
        <f t="shared" si="16"/>
        <v>2.597</v>
      </c>
      <c r="Q84" s="5" t="s">
        <v>375</v>
      </c>
      <c r="R84" s="5" t="s">
        <v>376</v>
      </c>
      <c r="S84" s="5">
        <v>9177</v>
      </c>
      <c r="T84" s="5">
        <v>4558</v>
      </c>
      <c r="U84" s="8">
        <f t="shared" si="17"/>
        <v>6867.5</v>
      </c>
      <c r="V84" s="8">
        <f t="shared" si="18"/>
        <v>13.734999999999999</v>
      </c>
    </row>
    <row r="85" spans="1:22" x14ac:dyDescent="0.25">
      <c r="A85" t="s">
        <v>46</v>
      </c>
      <c r="B85" t="s">
        <v>151</v>
      </c>
      <c r="C85">
        <v>623</v>
      </c>
      <c r="J85" s="5" t="s">
        <v>157</v>
      </c>
      <c r="K85" s="5" t="s">
        <v>158</v>
      </c>
      <c r="L85" s="5">
        <v>877</v>
      </c>
      <c r="M85" s="7">
        <f t="shared" si="14"/>
        <v>365</v>
      </c>
      <c r="N85" s="8">
        <f t="shared" si="15"/>
        <v>621</v>
      </c>
      <c r="O85" s="8">
        <f t="shared" si="16"/>
        <v>1.242</v>
      </c>
      <c r="Q85" s="5" t="s">
        <v>253</v>
      </c>
      <c r="R85" s="5" t="s">
        <v>377</v>
      </c>
      <c r="S85" s="5">
        <v>2250</v>
      </c>
      <c r="T85" s="5">
        <v>0</v>
      </c>
      <c r="U85" s="8">
        <f t="shared" si="17"/>
        <v>1125</v>
      </c>
      <c r="V85" s="8">
        <f t="shared" si="18"/>
        <v>2.25</v>
      </c>
    </row>
    <row r="86" spans="1:22" x14ac:dyDescent="0.25">
      <c r="A86" t="s">
        <v>152</v>
      </c>
      <c r="B86" t="s">
        <v>153</v>
      </c>
      <c r="C86">
        <v>873</v>
      </c>
      <c r="J86" s="5" t="s">
        <v>42</v>
      </c>
      <c r="K86" s="5" t="s">
        <v>159</v>
      </c>
      <c r="L86" s="5">
        <v>152</v>
      </c>
      <c r="M86" s="7">
        <f t="shared" si="14"/>
        <v>2005</v>
      </c>
      <c r="N86" s="8">
        <f t="shared" si="15"/>
        <v>1078.5</v>
      </c>
      <c r="O86" s="8">
        <f t="shared" si="16"/>
        <v>2.157</v>
      </c>
      <c r="Q86" s="5" t="s">
        <v>378</v>
      </c>
      <c r="R86" s="5" t="s">
        <v>379</v>
      </c>
      <c r="S86" s="5">
        <v>2283</v>
      </c>
      <c r="T86" s="5">
        <v>1246</v>
      </c>
      <c r="U86" s="8">
        <f t="shared" si="17"/>
        <v>1764.5</v>
      </c>
      <c r="V86" s="8">
        <f t="shared" si="18"/>
        <v>3.5289999999999999</v>
      </c>
    </row>
    <row r="87" spans="1:22" x14ac:dyDescent="0.25">
      <c r="A87" t="s">
        <v>5</v>
      </c>
      <c r="B87" t="s">
        <v>154</v>
      </c>
      <c r="C87">
        <v>0</v>
      </c>
      <c r="J87" s="5" t="s">
        <v>38</v>
      </c>
      <c r="K87" s="5" t="s">
        <v>160</v>
      </c>
      <c r="L87" s="5">
        <v>11381</v>
      </c>
      <c r="M87" s="7">
        <f t="shared" si="14"/>
        <v>6956</v>
      </c>
      <c r="N87" s="8">
        <f t="shared" si="15"/>
        <v>9168.5</v>
      </c>
      <c r="O87" s="8">
        <f t="shared" si="16"/>
        <v>18.337</v>
      </c>
      <c r="Q87" s="5" t="s">
        <v>380</v>
      </c>
      <c r="R87" s="5" t="s">
        <v>381</v>
      </c>
      <c r="S87" s="5">
        <v>1193</v>
      </c>
      <c r="T87" s="5">
        <v>1278</v>
      </c>
      <c r="U87" s="8">
        <f t="shared" si="17"/>
        <v>1235.5</v>
      </c>
      <c r="V87" s="8">
        <f t="shared" si="18"/>
        <v>2.4710000000000001</v>
      </c>
    </row>
    <row r="88" spans="1:22" x14ac:dyDescent="0.25">
      <c r="A88" t="s">
        <v>35</v>
      </c>
      <c r="B88" t="s">
        <v>155</v>
      </c>
      <c r="C88">
        <v>0</v>
      </c>
      <c r="J88" s="5" t="s">
        <v>29</v>
      </c>
      <c r="K88" s="5" t="s">
        <v>161</v>
      </c>
      <c r="L88" s="5">
        <v>323</v>
      </c>
      <c r="M88" s="7">
        <f t="shared" si="14"/>
        <v>758</v>
      </c>
      <c r="N88" s="8">
        <f t="shared" si="15"/>
        <v>540.5</v>
      </c>
      <c r="O88" s="8">
        <f t="shared" si="16"/>
        <v>1.081</v>
      </c>
      <c r="Q88" s="5" t="s">
        <v>382</v>
      </c>
      <c r="R88" s="5" t="s">
        <v>383</v>
      </c>
      <c r="S88" s="5">
        <v>3688</v>
      </c>
      <c r="T88" s="5">
        <v>0</v>
      </c>
      <c r="U88" s="8">
        <f t="shared" si="17"/>
        <v>1844</v>
      </c>
      <c r="V88" s="8">
        <f t="shared" si="18"/>
        <v>3.6880000000000002</v>
      </c>
    </row>
    <row r="89" spans="1:22" x14ac:dyDescent="0.25">
      <c r="A89" t="s">
        <v>14</v>
      </c>
      <c r="B89" t="s">
        <v>156</v>
      </c>
      <c r="C89">
        <v>2306</v>
      </c>
      <c r="J89" s="5" t="s">
        <v>163</v>
      </c>
      <c r="K89" s="5" t="s">
        <v>164</v>
      </c>
      <c r="L89" s="5">
        <v>159</v>
      </c>
      <c r="M89" s="7">
        <f t="shared" si="14"/>
        <v>238</v>
      </c>
      <c r="N89" s="8">
        <f t="shared" si="15"/>
        <v>198.5</v>
      </c>
      <c r="O89" s="8">
        <f t="shared" si="16"/>
        <v>0.39700000000000002</v>
      </c>
      <c r="Q89" s="5" t="s">
        <v>384</v>
      </c>
      <c r="R89" s="5" t="s">
        <v>385</v>
      </c>
      <c r="S89" s="5">
        <v>3723</v>
      </c>
      <c r="T89" s="5">
        <v>1054</v>
      </c>
      <c r="U89" s="8">
        <f t="shared" si="17"/>
        <v>2388.5</v>
      </c>
      <c r="V89" s="8">
        <f t="shared" si="18"/>
        <v>4.7770000000000001</v>
      </c>
    </row>
    <row r="90" spans="1:22" x14ac:dyDescent="0.25">
      <c r="A90" t="s">
        <v>157</v>
      </c>
      <c r="B90" t="s">
        <v>158</v>
      </c>
      <c r="C90">
        <v>365</v>
      </c>
      <c r="J90" s="5" t="s">
        <v>35</v>
      </c>
      <c r="K90" s="5" t="s">
        <v>165</v>
      </c>
      <c r="L90" s="5">
        <v>3430</v>
      </c>
      <c r="M90" s="7">
        <f t="shared" si="14"/>
        <v>497</v>
      </c>
      <c r="N90" s="8">
        <f t="shared" si="15"/>
        <v>1963.5</v>
      </c>
      <c r="O90" s="8">
        <f t="shared" si="16"/>
        <v>3.927</v>
      </c>
      <c r="Q90" s="5" t="s">
        <v>386</v>
      </c>
      <c r="R90" s="5" t="s">
        <v>387</v>
      </c>
      <c r="S90" s="5">
        <v>4868</v>
      </c>
      <c r="T90" s="5">
        <v>2388</v>
      </c>
      <c r="U90" s="8">
        <f t="shared" si="17"/>
        <v>3628</v>
      </c>
      <c r="V90" s="8">
        <f t="shared" si="18"/>
        <v>7.2560000000000002</v>
      </c>
    </row>
    <row r="91" spans="1:22" x14ac:dyDescent="0.25">
      <c r="A91" t="s">
        <v>42</v>
      </c>
      <c r="B91" t="s">
        <v>159</v>
      </c>
      <c r="C91">
        <v>344</v>
      </c>
      <c r="J91" s="5" t="s">
        <v>33</v>
      </c>
      <c r="K91" s="5" t="s">
        <v>166</v>
      </c>
      <c r="L91" s="5">
        <v>516</v>
      </c>
      <c r="M91" s="7">
        <f t="shared" si="14"/>
        <v>1219</v>
      </c>
      <c r="N91" s="8">
        <f t="shared" si="15"/>
        <v>867.5</v>
      </c>
      <c r="O91" s="8">
        <f t="shared" si="16"/>
        <v>1.7350000000000001</v>
      </c>
      <c r="Q91" s="5" t="s">
        <v>313</v>
      </c>
      <c r="R91" s="5" t="s">
        <v>388</v>
      </c>
      <c r="S91" s="5">
        <v>4822</v>
      </c>
      <c r="T91" s="5">
        <v>1849</v>
      </c>
      <c r="U91" s="8">
        <f t="shared" si="17"/>
        <v>3335.5</v>
      </c>
      <c r="V91" s="8">
        <f t="shared" si="18"/>
        <v>6.6710000000000003</v>
      </c>
    </row>
    <row r="92" spans="1:22" x14ac:dyDescent="0.25">
      <c r="A92" t="s">
        <v>38</v>
      </c>
      <c r="B92" t="s">
        <v>160</v>
      </c>
      <c r="C92">
        <v>3542</v>
      </c>
      <c r="J92" s="5" t="s">
        <v>167</v>
      </c>
      <c r="K92" s="5" t="s">
        <v>168</v>
      </c>
      <c r="L92" s="5">
        <v>1649</v>
      </c>
      <c r="M92" s="7">
        <f t="shared" si="14"/>
        <v>1140</v>
      </c>
      <c r="N92" s="8">
        <f t="shared" si="15"/>
        <v>1394.5</v>
      </c>
      <c r="O92" s="8">
        <f t="shared" si="16"/>
        <v>2.7890000000000001</v>
      </c>
      <c r="Q92" s="5" t="s">
        <v>389</v>
      </c>
      <c r="R92" s="5" t="s">
        <v>390</v>
      </c>
      <c r="S92" s="5">
        <v>74</v>
      </c>
      <c r="T92" s="5">
        <v>635</v>
      </c>
      <c r="U92" s="8">
        <f t="shared" si="17"/>
        <v>354.5</v>
      </c>
      <c r="V92" s="8">
        <f t="shared" si="18"/>
        <v>0.70899999999999996</v>
      </c>
    </row>
    <row r="93" spans="1:22" x14ac:dyDescent="0.25">
      <c r="A93" t="s">
        <v>29</v>
      </c>
      <c r="B93" t="s">
        <v>161</v>
      </c>
      <c r="C93">
        <v>34</v>
      </c>
      <c r="J93" s="5" t="s">
        <v>57</v>
      </c>
      <c r="K93" s="5" t="s">
        <v>169</v>
      </c>
      <c r="L93" s="5">
        <v>461</v>
      </c>
      <c r="M93" s="7">
        <f t="shared" si="14"/>
        <v>1697</v>
      </c>
      <c r="N93" s="8">
        <f t="shared" si="15"/>
        <v>1079</v>
      </c>
      <c r="O93" s="8">
        <f t="shared" si="16"/>
        <v>2.1579999999999999</v>
      </c>
      <c r="Q93" s="5" t="s">
        <v>391</v>
      </c>
      <c r="R93" s="5" t="s">
        <v>392</v>
      </c>
      <c r="S93" s="5">
        <v>2521</v>
      </c>
      <c r="T93" s="5">
        <v>642</v>
      </c>
      <c r="U93" s="8">
        <f t="shared" si="17"/>
        <v>1581.5</v>
      </c>
      <c r="V93" s="8">
        <f t="shared" si="18"/>
        <v>3.1629999999999998</v>
      </c>
    </row>
    <row r="94" spans="1:22" x14ac:dyDescent="0.25">
      <c r="A94" t="s">
        <v>35</v>
      </c>
      <c r="B94" t="s">
        <v>162</v>
      </c>
      <c r="C94">
        <v>1</v>
      </c>
      <c r="J94" s="5" t="s">
        <v>170</v>
      </c>
      <c r="K94" s="5" t="s">
        <v>171</v>
      </c>
      <c r="L94" s="5">
        <v>197</v>
      </c>
      <c r="M94" s="7">
        <f t="shared" si="14"/>
        <v>247</v>
      </c>
      <c r="N94" s="8">
        <f t="shared" si="15"/>
        <v>222</v>
      </c>
      <c r="O94" s="8">
        <f t="shared" si="16"/>
        <v>0.44400000000000001</v>
      </c>
      <c r="Q94" s="5" t="s">
        <v>393</v>
      </c>
      <c r="R94" s="5" t="s">
        <v>394</v>
      </c>
      <c r="S94" s="5">
        <v>2449</v>
      </c>
      <c r="T94" s="5">
        <v>0</v>
      </c>
      <c r="U94" s="8">
        <f t="shared" si="17"/>
        <v>1224.5</v>
      </c>
      <c r="V94" s="8">
        <f t="shared" si="18"/>
        <v>2.4489999999999998</v>
      </c>
    </row>
    <row r="95" spans="1:22" x14ac:dyDescent="0.25">
      <c r="A95" t="s">
        <v>163</v>
      </c>
      <c r="B95" t="s">
        <v>164</v>
      </c>
      <c r="C95">
        <v>238</v>
      </c>
      <c r="J95" s="5" t="s">
        <v>35</v>
      </c>
      <c r="K95" s="5" t="s">
        <v>172</v>
      </c>
      <c r="L95" s="5">
        <v>1607</v>
      </c>
      <c r="M95" s="7">
        <f t="shared" si="14"/>
        <v>497</v>
      </c>
      <c r="N95" s="8">
        <f t="shared" si="15"/>
        <v>1052</v>
      </c>
      <c r="O95" s="8">
        <f t="shared" si="16"/>
        <v>2.1040000000000001</v>
      </c>
      <c r="Q95" s="5" t="s">
        <v>395</v>
      </c>
      <c r="R95" s="5" t="s">
        <v>396</v>
      </c>
      <c r="S95" s="5">
        <v>1487</v>
      </c>
      <c r="T95" s="5">
        <v>1234</v>
      </c>
      <c r="U95" s="8">
        <f t="shared" si="17"/>
        <v>1360.5</v>
      </c>
      <c r="V95" s="8">
        <f t="shared" si="18"/>
        <v>2.7210000000000001</v>
      </c>
    </row>
    <row r="96" spans="1:22" x14ac:dyDescent="0.25">
      <c r="A96" t="s">
        <v>35</v>
      </c>
      <c r="B96" t="s">
        <v>165</v>
      </c>
      <c r="C96">
        <v>3348</v>
      </c>
      <c r="J96" s="5" t="s">
        <v>10</v>
      </c>
      <c r="K96" s="5" t="s">
        <v>173</v>
      </c>
      <c r="L96" s="5">
        <v>200</v>
      </c>
      <c r="M96" s="7">
        <f t="shared" si="14"/>
        <v>1221</v>
      </c>
      <c r="N96" s="8">
        <f t="shared" si="15"/>
        <v>710.5</v>
      </c>
      <c r="O96" s="8">
        <f t="shared" si="16"/>
        <v>1.421</v>
      </c>
      <c r="Q96" s="5" t="s">
        <v>397</v>
      </c>
      <c r="R96" s="5" t="s">
        <v>398</v>
      </c>
      <c r="S96" s="5">
        <v>6459</v>
      </c>
      <c r="T96" s="5">
        <v>3782</v>
      </c>
      <c r="U96" s="8">
        <f t="shared" si="17"/>
        <v>5120.5</v>
      </c>
      <c r="V96" s="8">
        <f t="shared" si="18"/>
        <v>10.241</v>
      </c>
    </row>
    <row r="97" spans="1:22" x14ac:dyDescent="0.25">
      <c r="A97" t="s">
        <v>33</v>
      </c>
      <c r="B97" t="s">
        <v>166</v>
      </c>
      <c r="C97">
        <v>0</v>
      </c>
      <c r="J97" s="5" t="s">
        <v>48</v>
      </c>
      <c r="K97" s="5" t="s">
        <v>174</v>
      </c>
      <c r="L97" s="5">
        <v>783</v>
      </c>
      <c r="M97" s="7">
        <f t="shared" si="14"/>
        <v>1332</v>
      </c>
      <c r="N97" s="8">
        <f t="shared" si="15"/>
        <v>1057.5</v>
      </c>
      <c r="O97" s="8">
        <f t="shared" si="16"/>
        <v>2.1150000000000002</v>
      </c>
      <c r="Q97" s="5" t="s">
        <v>399</v>
      </c>
      <c r="R97" s="5" t="s">
        <v>400</v>
      </c>
      <c r="S97" s="5">
        <v>2983</v>
      </c>
      <c r="T97" s="5">
        <v>1187</v>
      </c>
      <c r="U97" s="8">
        <f t="shared" si="17"/>
        <v>2085</v>
      </c>
      <c r="V97" s="8">
        <f t="shared" si="18"/>
        <v>4.17</v>
      </c>
    </row>
    <row r="98" spans="1:22" x14ac:dyDescent="0.25">
      <c r="A98" t="s">
        <v>167</v>
      </c>
      <c r="B98" t="s">
        <v>168</v>
      </c>
      <c r="C98">
        <v>1140</v>
      </c>
      <c r="J98" s="5" t="s">
        <v>175</v>
      </c>
      <c r="K98" s="5" t="s">
        <v>176</v>
      </c>
      <c r="L98" s="5">
        <v>177</v>
      </c>
      <c r="M98" s="7">
        <f t="shared" si="14"/>
        <v>400</v>
      </c>
      <c r="N98" s="8">
        <f t="shared" si="15"/>
        <v>288.5</v>
      </c>
      <c r="O98" s="8">
        <f t="shared" si="16"/>
        <v>0.57699999999999996</v>
      </c>
      <c r="Q98" s="5" t="s">
        <v>401</v>
      </c>
      <c r="R98" s="5" t="s">
        <v>402</v>
      </c>
      <c r="S98" s="5">
        <v>951</v>
      </c>
      <c r="T98" s="5">
        <v>466</v>
      </c>
      <c r="U98" s="8">
        <f t="shared" si="17"/>
        <v>708.5</v>
      </c>
      <c r="V98" s="8">
        <f t="shared" si="18"/>
        <v>1.417</v>
      </c>
    </row>
    <row r="99" spans="1:22" x14ac:dyDescent="0.25">
      <c r="A99" t="s">
        <v>57</v>
      </c>
      <c r="B99" t="s">
        <v>169</v>
      </c>
      <c r="C99">
        <v>888</v>
      </c>
      <c r="J99" s="5" t="s">
        <v>177</v>
      </c>
      <c r="K99" s="5" t="s">
        <v>178</v>
      </c>
      <c r="L99" s="5">
        <v>1192</v>
      </c>
      <c r="M99" s="7">
        <f t="shared" ref="M99:M123" si="19">VLOOKUP(J99,$A$4:$C$130,3,0)</f>
        <v>2330</v>
      </c>
      <c r="N99" s="8">
        <f t="shared" si="15"/>
        <v>1761</v>
      </c>
      <c r="O99" s="8">
        <f t="shared" si="16"/>
        <v>3.5219999999999998</v>
      </c>
      <c r="Q99" s="5" t="s">
        <v>403</v>
      </c>
      <c r="R99" s="5" t="s">
        <v>404</v>
      </c>
      <c r="S99" s="5">
        <v>2040</v>
      </c>
      <c r="T99" s="5">
        <v>838</v>
      </c>
      <c r="U99" s="8">
        <f t="shared" si="17"/>
        <v>1439</v>
      </c>
      <c r="V99" s="8">
        <f t="shared" si="18"/>
        <v>2.8780000000000001</v>
      </c>
    </row>
    <row r="100" spans="1:22" x14ac:dyDescent="0.25">
      <c r="A100" t="s">
        <v>170</v>
      </c>
      <c r="B100" t="s">
        <v>171</v>
      </c>
      <c r="C100">
        <v>247</v>
      </c>
      <c r="J100" s="5" t="s">
        <v>22</v>
      </c>
      <c r="K100" s="5" t="s">
        <v>179</v>
      </c>
      <c r="L100" s="5">
        <v>3845</v>
      </c>
      <c r="M100" s="7">
        <f t="shared" si="19"/>
        <v>10633</v>
      </c>
      <c r="N100" s="8">
        <f t="shared" si="15"/>
        <v>7239</v>
      </c>
      <c r="O100" s="8">
        <f t="shared" si="16"/>
        <v>14.478</v>
      </c>
      <c r="Q100" s="5" t="s">
        <v>405</v>
      </c>
      <c r="R100" s="5" t="s">
        <v>406</v>
      </c>
      <c r="S100" s="5">
        <v>1948</v>
      </c>
      <c r="T100" s="5">
        <v>1941</v>
      </c>
      <c r="U100" s="8">
        <f t="shared" si="17"/>
        <v>1944.5</v>
      </c>
      <c r="V100" s="8">
        <f t="shared" si="18"/>
        <v>3.8889999999999998</v>
      </c>
    </row>
    <row r="101" spans="1:22" x14ac:dyDescent="0.25">
      <c r="A101" t="s">
        <v>35</v>
      </c>
      <c r="B101" t="s">
        <v>172</v>
      </c>
      <c r="C101">
        <v>2431</v>
      </c>
      <c r="J101" s="5" t="s">
        <v>77</v>
      </c>
      <c r="K101" s="5" t="s">
        <v>180</v>
      </c>
      <c r="L101" s="5">
        <v>1788</v>
      </c>
      <c r="M101" s="7">
        <f t="shared" si="19"/>
        <v>5341</v>
      </c>
      <c r="N101" s="8">
        <f t="shared" si="15"/>
        <v>3564.5</v>
      </c>
      <c r="O101" s="8">
        <f t="shared" si="16"/>
        <v>7.1289999999999996</v>
      </c>
      <c r="Q101" s="5" t="s">
        <v>407</v>
      </c>
      <c r="R101" s="5" t="s">
        <v>408</v>
      </c>
      <c r="S101" s="5">
        <v>2789</v>
      </c>
      <c r="T101" s="5">
        <v>3339</v>
      </c>
      <c r="U101" s="8">
        <f t="shared" si="17"/>
        <v>3064</v>
      </c>
      <c r="V101" s="8">
        <f t="shared" si="18"/>
        <v>6.1280000000000001</v>
      </c>
    </row>
    <row r="102" spans="1:22" x14ac:dyDescent="0.25">
      <c r="A102" t="s">
        <v>10</v>
      </c>
      <c r="B102" t="s">
        <v>173</v>
      </c>
      <c r="C102">
        <v>3</v>
      </c>
      <c r="J102" s="5" t="s">
        <v>113</v>
      </c>
      <c r="K102" s="5" t="s">
        <v>181</v>
      </c>
      <c r="L102" s="5">
        <v>820</v>
      </c>
      <c r="M102" s="7">
        <f t="shared" si="19"/>
        <v>143</v>
      </c>
      <c r="N102" s="8">
        <f t="shared" si="15"/>
        <v>481.5</v>
      </c>
      <c r="O102" s="8">
        <f t="shared" si="16"/>
        <v>0.96299999999999997</v>
      </c>
      <c r="Q102" s="5" t="s">
        <v>409</v>
      </c>
      <c r="R102" s="5" t="s">
        <v>410</v>
      </c>
      <c r="S102" s="5">
        <v>599</v>
      </c>
      <c r="T102" s="5">
        <v>197</v>
      </c>
      <c r="U102" s="8">
        <f t="shared" si="17"/>
        <v>398</v>
      </c>
      <c r="V102" s="8">
        <f t="shared" si="18"/>
        <v>0.79600000000000004</v>
      </c>
    </row>
    <row r="103" spans="1:22" x14ac:dyDescent="0.25">
      <c r="A103" t="s">
        <v>48</v>
      </c>
      <c r="B103" t="s">
        <v>174</v>
      </c>
      <c r="C103">
        <v>1040</v>
      </c>
      <c r="J103" s="5" t="s">
        <v>183</v>
      </c>
      <c r="K103" s="5" t="s">
        <v>184</v>
      </c>
      <c r="L103" s="5">
        <v>1770</v>
      </c>
      <c r="M103" s="7">
        <f t="shared" si="19"/>
        <v>2168</v>
      </c>
      <c r="N103" s="8">
        <f t="shared" si="15"/>
        <v>1969</v>
      </c>
      <c r="O103" s="8">
        <f t="shared" si="16"/>
        <v>3.9380000000000002</v>
      </c>
      <c r="Q103" s="5" t="s">
        <v>411</v>
      </c>
      <c r="R103" s="5" t="s">
        <v>412</v>
      </c>
      <c r="S103" s="5">
        <v>1191</v>
      </c>
      <c r="T103" s="5">
        <v>1421</v>
      </c>
      <c r="U103" s="8">
        <f t="shared" si="17"/>
        <v>1306</v>
      </c>
      <c r="V103" s="8">
        <f t="shared" si="18"/>
        <v>2.6120000000000001</v>
      </c>
    </row>
    <row r="104" spans="1:22" x14ac:dyDescent="0.25">
      <c r="A104" t="s">
        <v>175</v>
      </c>
      <c r="B104" t="s">
        <v>176</v>
      </c>
      <c r="C104">
        <v>400</v>
      </c>
      <c r="J104" s="5" t="s">
        <v>22</v>
      </c>
      <c r="K104" s="5" t="s">
        <v>222</v>
      </c>
      <c r="L104" s="5">
        <v>1728</v>
      </c>
      <c r="M104" s="7">
        <f t="shared" si="19"/>
        <v>10633</v>
      </c>
      <c r="N104" s="8">
        <f t="shared" si="15"/>
        <v>6180.5</v>
      </c>
      <c r="O104" s="8">
        <f t="shared" si="16"/>
        <v>12.361000000000001</v>
      </c>
      <c r="Q104" s="5" t="s">
        <v>413</v>
      </c>
      <c r="R104" s="5" t="s">
        <v>414</v>
      </c>
      <c r="S104" s="5">
        <v>2470</v>
      </c>
      <c r="T104" s="5">
        <v>1223</v>
      </c>
      <c r="U104" s="8">
        <f t="shared" si="17"/>
        <v>1846.5</v>
      </c>
      <c r="V104" s="8">
        <f t="shared" si="18"/>
        <v>3.6930000000000001</v>
      </c>
    </row>
    <row r="105" spans="1:22" x14ac:dyDescent="0.25">
      <c r="A105" t="s">
        <v>177</v>
      </c>
      <c r="B105" t="s">
        <v>178</v>
      </c>
      <c r="C105">
        <v>2330</v>
      </c>
      <c r="J105" s="5" t="s">
        <v>186</v>
      </c>
      <c r="K105" s="5" t="s">
        <v>187</v>
      </c>
      <c r="L105" s="5">
        <v>1237</v>
      </c>
      <c r="M105" s="7">
        <f t="shared" si="19"/>
        <v>104</v>
      </c>
      <c r="N105" s="8">
        <f t="shared" si="15"/>
        <v>670.5</v>
      </c>
      <c r="O105" s="8">
        <f t="shared" si="16"/>
        <v>1.341</v>
      </c>
      <c r="Q105" s="5" t="s">
        <v>247</v>
      </c>
      <c r="R105" s="5" t="s">
        <v>415</v>
      </c>
      <c r="S105" s="5">
        <v>1886</v>
      </c>
      <c r="T105" s="5">
        <v>952</v>
      </c>
      <c r="U105" s="8">
        <f t="shared" si="17"/>
        <v>1419</v>
      </c>
      <c r="V105" s="8">
        <f t="shared" si="18"/>
        <v>2.8380000000000001</v>
      </c>
    </row>
    <row r="106" spans="1:22" x14ac:dyDescent="0.25">
      <c r="A106" t="s">
        <v>22</v>
      </c>
      <c r="B106" t="s">
        <v>179</v>
      </c>
      <c r="C106">
        <v>2737</v>
      </c>
      <c r="J106" s="5" t="s">
        <v>188</v>
      </c>
      <c r="K106" s="5" t="s">
        <v>189</v>
      </c>
      <c r="L106" s="5">
        <v>1155</v>
      </c>
      <c r="M106" s="7">
        <f t="shared" si="19"/>
        <v>1687</v>
      </c>
      <c r="N106" s="8">
        <f t="shared" si="15"/>
        <v>1421</v>
      </c>
      <c r="O106" s="8">
        <f t="shared" si="16"/>
        <v>2.8420000000000001</v>
      </c>
      <c r="Q106" s="5" t="s">
        <v>416</v>
      </c>
      <c r="R106" s="5" t="s">
        <v>417</v>
      </c>
      <c r="S106" s="5">
        <v>0</v>
      </c>
      <c r="T106" s="5">
        <v>840</v>
      </c>
      <c r="U106" s="8">
        <f t="shared" si="17"/>
        <v>420</v>
      </c>
      <c r="V106" s="8">
        <f t="shared" si="18"/>
        <v>0.84</v>
      </c>
    </row>
    <row r="107" spans="1:22" x14ac:dyDescent="0.25">
      <c r="A107" t="s">
        <v>77</v>
      </c>
      <c r="B107" t="s">
        <v>180</v>
      </c>
      <c r="C107">
        <v>2326</v>
      </c>
      <c r="J107" s="5" t="s">
        <v>190</v>
      </c>
      <c r="K107" s="5" t="s">
        <v>191</v>
      </c>
      <c r="L107" s="5">
        <v>130</v>
      </c>
      <c r="M107" s="7">
        <f t="shared" si="19"/>
        <v>134</v>
      </c>
      <c r="N107" s="8">
        <f t="shared" si="15"/>
        <v>132</v>
      </c>
      <c r="O107" s="8">
        <f t="shared" si="16"/>
        <v>0.26400000000000001</v>
      </c>
      <c r="Q107" s="5" t="s">
        <v>418</v>
      </c>
      <c r="R107" s="5" t="s">
        <v>419</v>
      </c>
      <c r="S107" s="5">
        <v>8531</v>
      </c>
      <c r="T107" s="5">
        <v>2571</v>
      </c>
      <c r="U107" s="8">
        <f t="shared" si="17"/>
        <v>5551</v>
      </c>
      <c r="V107" s="8">
        <f t="shared" si="18"/>
        <v>11.102</v>
      </c>
    </row>
    <row r="108" spans="1:22" x14ac:dyDescent="0.25">
      <c r="A108" t="s">
        <v>113</v>
      </c>
      <c r="B108" t="s">
        <v>181</v>
      </c>
      <c r="C108">
        <v>288</v>
      </c>
      <c r="J108" s="5" t="s">
        <v>44</v>
      </c>
      <c r="K108" s="5" t="s">
        <v>192</v>
      </c>
      <c r="L108" s="5">
        <v>57</v>
      </c>
      <c r="M108" s="7">
        <f t="shared" si="19"/>
        <v>1360</v>
      </c>
      <c r="N108" s="8">
        <f t="shared" si="15"/>
        <v>708.5</v>
      </c>
      <c r="O108" s="8">
        <f t="shared" si="16"/>
        <v>1.417</v>
      </c>
      <c r="Q108" s="5" t="s">
        <v>420</v>
      </c>
      <c r="R108" s="5" t="s">
        <v>421</v>
      </c>
      <c r="S108" s="5">
        <v>12306</v>
      </c>
      <c r="T108" s="5">
        <v>869</v>
      </c>
      <c r="U108" s="8">
        <f t="shared" si="17"/>
        <v>6587.5</v>
      </c>
      <c r="V108" s="8">
        <f t="shared" si="18"/>
        <v>13.175000000000001</v>
      </c>
    </row>
    <row r="109" spans="1:22" x14ac:dyDescent="0.25">
      <c r="A109" t="s">
        <v>35</v>
      </c>
      <c r="B109" t="s">
        <v>182</v>
      </c>
      <c r="C109">
        <v>0</v>
      </c>
      <c r="J109" s="5" t="s">
        <v>193</v>
      </c>
      <c r="K109" s="5" t="s">
        <v>194</v>
      </c>
      <c r="L109" s="5">
        <v>776</v>
      </c>
      <c r="M109" s="7">
        <f t="shared" si="19"/>
        <v>1814</v>
      </c>
      <c r="N109" s="8">
        <f t="shared" si="15"/>
        <v>1295</v>
      </c>
      <c r="O109" s="8">
        <f t="shared" si="16"/>
        <v>2.59</v>
      </c>
      <c r="Q109" s="5" t="s">
        <v>145</v>
      </c>
      <c r="R109" s="5" t="s">
        <v>422</v>
      </c>
      <c r="S109" s="5">
        <v>8123</v>
      </c>
      <c r="T109" s="5">
        <v>0</v>
      </c>
      <c r="U109" s="8">
        <f t="shared" si="17"/>
        <v>4061.5</v>
      </c>
      <c r="V109" s="8">
        <f t="shared" si="18"/>
        <v>8.1229999999999993</v>
      </c>
    </row>
    <row r="110" spans="1:22" x14ac:dyDescent="0.25">
      <c r="A110" t="s">
        <v>183</v>
      </c>
      <c r="B110" t="s">
        <v>184</v>
      </c>
      <c r="C110">
        <v>2168</v>
      </c>
      <c r="J110" s="5" t="s">
        <v>3</v>
      </c>
      <c r="K110" s="5" t="s">
        <v>195</v>
      </c>
      <c r="L110" s="5">
        <v>1806</v>
      </c>
      <c r="M110" s="7">
        <f t="shared" si="19"/>
        <v>1998</v>
      </c>
      <c r="N110" s="8">
        <f t="shared" si="15"/>
        <v>1902</v>
      </c>
      <c r="O110" s="8">
        <f t="shared" si="16"/>
        <v>3.8039999999999998</v>
      </c>
    </row>
    <row r="111" spans="1:22" x14ac:dyDescent="0.25">
      <c r="A111" t="s">
        <v>22</v>
      </c>
      <c r="B111" t="s">
        <v>185</v>
      </c>
      <c r="C111">
        <v>4638</v>
      </c>
      <c r="J111" s="5" t="s">
        <v>22</v>
      </c>
      <c r="K111" s="5" t="s">
        <v>196</v>
      </c>
      <c r="L111" s="5">
        <v>7770</v>
      </c>
      <c r="M111" s="7">
        <f t="shared" si="19"/>
        <v>10633</v>
      </c>
      <c r="N111" s="8">
        <f t="shared" si="15"/>
        <v>9201.5</v>
      </c>
      <c r="O111" s="8">
        <f t="shared" si="16"/>
        <v>18.402999999999999</v>
      </c>
    </row>
    <row r="112" spans="1:22" x14ac:dyDescent="0.25">
      <c r="A112" t="s">
        <v>186</v>
      </c>
      <c r="B112" t="s">
        <v>187</v>
      </c>
      <c r="C112">
        <v>104</v>
      </c>
      <c r="J112" s="5" t="s">
        <v>149</v>
      </c>
      <c r="K112" s="5" t="s">
        <v>197</v>
      </c>
      <c r="L112" s="5">
        <v>602</v>
      </c>
      <c r="M112" s="7">
        <f t="shared" si="19"/>
        <v>2316</v>
      </c>
      <c r="N112" s="8">
        <f t="shared" si="15"/>
        <v>1459</v>
      </c>
      <c r="O112" s="8">
        <f t="shared" si="16"/>
        <v>2.9180000000000001</v>
      </c>
    </row>
    <row r="113" spans="1:16" x14ac:dyDescent="0.25">
      <c r="A113" t="s">
        <v>188</v>
      </c>
      <c r="B113" t="s">
        <v>189</v>
      </c>
      <c r="C113">
        <v>1687</v>
      </c>
      <c r="J113" s="5" t="s">
        <v>198</v>
      </c>
      <c r="K113" s="5" t="s">
        <v>199</v>
      </c>
      <c r="L113" s="5">
        <v>253</v>
      </c>
      <c r="M113" s="7">
        <f t="shared" si="19"/>
        <v>1338</v>
      </c>
      <c r="N113" s="8">
        <f t="shared" si="15"/>
        <v>795.5</v>
      </c>
      <c r="O113" s="8">
        <f t="shared" si="16"/>
        <v>1.591</v>
      </c>
    </row>
    <row r="114" spans="1:16" x14ac:dyDescent="0.25">
      <c r="A114" t="s">
        <v>190</v>
      </c>
      <c r="B114" t="s">
        <v>191</v>
      </c>
      <c r="C114">
        <v>134</v>
      </c>
      <c r="J114" s="5" t="s">
        <v>200</v>
      </c>
      <c r="K114" s="5" t="s">
        <v>201</v>
      </c>
      <c r="L114" s="5">
        <v>1262</v>
      </c>
      <c r="M114" s="7">
        <f t="shared" si="19"/>
        <v>77</v>
      </c>
      <c r="N114" s="8">
        <f t="shared" si="15"/>
        <v>669.5</v>
      </c>
      <c r="O114" s="8">
        <f t="shared" si="16"/>
        <v>1.339</v>
      </c>
    </row>
    <row r="115" spans="1:16" x14ac:dyDescent="0.25">
      <c r="A115" t="s">
        <v>44</v>
      </c>
      <c r="B115" t="s">
        <v>192</v>
      </c>
      <c r="C115">
        <v>92</v>
      </c>
      <c r="J115" s="5" t="s">
        <v>121</v>
      </c>
      <c r="K115" s="5" t="s">
        <v>202</v>
      </c>
      <c r="L115" s="5">
        <v>879</v>
      </c>
      <c r="M115" s="7">
        <f t="shared" si="19"/>
        <v>1067</v>
      </c>
      <c r="N115" s="8">
        <f t="shared" si="15"/>
        <v>973</v>
      </c>
      <c r="O115" s="8">
        <f t="shared" si="16"/>
        <v>1.946</v>
      </c>
    </row>
    <row r="116" spans="1:16" x14ac:dyDescent="0.25">
      <c r="A116" t="s">
        <v>193</v>
      </c>
      <c r="B116" t="s">
        <v>194</v>
      </c>
      <c r="C116">
        <v>1814</v>
      </c>
      <c r="J116" s="5" t="s">
        <v>203</v>
      </c>
      <c r="K116" s="5" t="s">
        <v>204</v>
      </c>
      <c r="L116" s="5">
        <v>475</v>
      </c>
      <c r="M116" s="7">
        <f t="shared" si="19"/>
        <v>0</v>
      </c>
      <c r="N116" s="8">
        <f t="shared" si="15"/>
        <v>237.5</v>
      </c>
      <c r="O116" s="8">
        <f t="shared" si="16"/>
        <v>0.47499999999999998</v>
      </c>
    </row>
    <row r="117" spans="1:16" x14ac:dyDescent="0.25">
      <c r="A117" t="s">
        <v>3</v>
      </c>
      <c r="B117" t="s">
        <v>195</v>
      </c>
      <c r="C117">
        <v>902</v>
      </c>
      <c r="J117" s="5" t="s">
        <v>205</v>
      </c>
      <c r="K117" s="5" t="s">
        <v>206</v>
      </c>
      <c r="L117" s="5">
        <v>1097</v>
      </c>
      <c r="M117" s="7">
        <f t="shared" si="19"/>
        <v>234</v>
      </c>
      <c r="N117" s="8">
        <f t="shared" si="15"/>
        <v>665.5</v>
      </c>
      <c r="O117" s="8">
        <f t="shared" si="16"/>
        <v>1.331</v>
      </c>
    </row>
    <row r="118" spans="1:16" x14ac:dyDescent="0.25">
      <c r="A118" t="s">
        <v>22</v>
      </c>
      <c r="B118" t="s">
        <v>196</v>
      </c>
      <c r="C118">
        <v>4989</v>
      </c>
      <c r="J118" s="5" t="s">
        <v>100</v>
      </c>
      <c r="K118" s="5" t="s">
        <v>207</v>
      </c>
      <c r="L118" s="5">
        <v>2221</v>
      </c>
      <c r="M118" s="7">
        <f t="shared" si="19"/>
        <v>685</v>
      </c>
      <c r="N118" s="8">
        <f t="shared" si="15"/>
        <v>1453</v>
      </c>
      <c r="O118" s="8">
        <f t="shared" si="16"/>
        <v>2.9060000000000001</v>
      </c>
    </row>
    <row r="119" spans="1:16" x14ac:dyDescent="0.25">
      <c r="A119" t="s">
        <v>149</v>
      </c>
      <c r="B119" t="s">
        <v>197</v>
      </c>
      <c r="C119">
        <v>1679</v>
      </c>
      <c r="J119" s="5" t="s">
        <v>208</v>
      </c>
      <c r="K119" s="5" t="s">
        <v>209</v>
      </c>
      <c r="L119" s="5">
        <v>1909</v>
      </c>
      <c r="M119" s="7">
        <f t="shared" si="19"/>
        <v>92</v>
      </c>
      <c r="N119" s="8">
        <f t="shared" si="15"/>
        <v>1000.5</v>
      </c>
      <c r="O119" s="8">
        <f t="shared" si="16"/>
        <v>2.0009999999999999</v>
      </c>
      <c r="P119" s="10"/>
    </row>
    <row r="120" spans="1:16" x14ac:dyDescent="0.25">
      <c r="A120" t="s">
        <v>198</v>
      </c>
      <c r="B120" t="s">
        <v>199</v>
      </c>
      <c r="C120">
        <v>1338</v>
      </c>
      <c r="J120" s="5" t="s">
        <v>210</v>
      </c>
      <c r="K120" s="5" t="s">
        <v>211</v>
      </c>
      <c r="L120" s="5">
        <v>1206</v>
      </c>
      <c r="M120" s="7">
        <f t="shared" si="19"/>
        <v>1602</v>
      </c>
      <c r="N120" s="8">
        <f t="shared" si="15"/>
        <v>1404</v>
      </c>
      <c r="O120" s="8">
        <f t="shared" si="16"/>
        <v>2.8079999999999998</v>
      </c>
      <c r="P120" s="10"/>
    </row>
    <row r="121" spans="1:16" x14ac:dyDescent="0.25">
      <c r="A121" t="s">
        <v>200</v>
      </c>
      <c r="B121" t="s">
        <v>201</v>
      </c>
      <c r="C121">
        <v>77</v>
      </c>
      <c r="J121" s="5" t="s">
        <v>212</v>
      </c>
      <c r="K121" s="5" t="s">
        <v>213</v>
      </c>
      <c r="L121" s="5">
        <v>740</v>
      </c>
      <c r="M121" s="7">
        <f t="shared" si="19"/>
        <v>426</v>
      </c>
      <c r="N121" s="8">
        <f t="shared" si="15"/>
        <v>583</v>
      </c>
      <c r="O121" s="8">
        <f t="shared" si="16"/>
        <v>1.1659999999999999</v>
      </c>
      <c r="P121" s="10"/>
    </row>
    <row r="122" spans="1:16" x14ac:dyDescent="0.25">
      <c r="A122" t="s">
        <v>121</v>
      </c>
      <c r="B122" t="s">
        <v>202</v>
      </c>
      <c r="C122">
        <v>499</v>
      </c>
      <c r="J122" s="5" t="s">
        <v>214</v>
      </c>
      <c r="K122" s="5" t="s">
        <v>215</v>
      </c>
      <c r="L122" s="5">
        <v>2</v>
      </c>
      <c r="M122" s="7">
        <f t="shared" si="19"/>
        <v>1295</v>
      </c>
      <c r="N122" s="8">
        <f t="shared" si="15"/>
        <v>648.5</v>
      </c>
      <c r="O122" s="8">
        <f t="shared" si="16"/>
        <v>1.2969999999999999</v>
      </c>
      <c r="P122" s="10"/>
    </row>
    <row r="123" spans="1:16" x14ac:dyDescent="0.25">
      <c r="A123" t="s">
        <v>203</v>
      </c>
      <c r="B123" t="s">
        <v>204</v>
      </c>
      <c r="C123">
        <v>0</v>
      </c>
      <c r="J123" s="5" t="s">
        <v>216</v>
      </c>
      <c r="K123" s="5" t="s">
        <v>217</v>
      </c>
      <c r="L123" s="5">
        <v>1344</v>
      </c>
      <c r="M123" s="7">
        <f t="shared" si="19"/>
        <v>0</v>
      </c>
      <c r="N123" s="8">
        <f t="shared" si="15"/>
        <v>672</v>
      </c>
      <c r="O123" s="8">
        <f t="shared" si="16"/>
        <v>1.3440000000000001</v>
      </c>
      <c r="P123" s="10"/>
    </row>
    <row r="124" spans="1:16" x14ac:dyDescent="0.25">
      <c r="A124" t="s">
        <v>205</v>
      </c>
      <c r="B124" t="s">
        <v>206</v>
      </c>
      <c r="C124">
        <v>234</v>
      </c>
    </row>
    <row r="125" spans="1:16" x14ac:dyDescent="0.25">
      <c r="A125" t="s">
        <v>100</v>
      </c>
      <c r="B125" t="s">
        <v>207</v>
      </c>
      <c r="C125">
        <v>281</v>
      </c>
    </row>
    <row r="126" spans="1:16" x14ac:dyDescent="0.25">
      <c r="A126" t="s">
        <v>208</v>
      </c>
      <c r="B126" t="s">
        <v>209</v>
      </c>
      <c r="C126">
        <v>92</v>
      </c>
    </row>
    <row r="127" spans="1:16" x14ac:dyDescent="0.25">
      <c r="A127" t="s">
        <v>210</v>
      </c>
      <c r="B127" t="s">
        <v>211</v>
      </c>
      <c r="C127">
        <v>1602</v>
      </c>
    </row>
    <row r="128" spans="1:16" x14ac:dyDescent="0.25">
      <c r="A128" t="s">
        <v>212</v>
      </c>
      <c r="B128" t="s">
        <v>213</v>
      </c>
      <c r="C128">
        <v>426</v>
      </c>
    </row>
    <row r="129" spans="1:3" x14ac:dyDescent="0.25">
      <c r="A129" t="s">
        <v>214</v>
      </c>
      <c r="B129" t="s">
        <v>215</v>
      </c>
      <c r="C129">
        <v>1295</v>
      </c>
    </row>
    <row r="130" spans="1:3" x14ac:dyDescent="0.25">
      <c r="A130" t="s">
        <v>216</v>
      </c>
      <c r="B130" t="s">
        <v>217</v>
      </c>
      <c r="C130">
        <v>0</v>
      </c>
    </row>
  </sheetData>
  <mergeCells count="4">
    <mergeCell ref="J1:M1"/>
    <mergeCell ref="Q1:T1"/>
    <mergeCell ref="AA1:AD1"/>
    <mergeCell ref="AK1:AN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A373A-B3BF-44D1-8E75-7B4F1D9540B6}">
  <dimension ref="A1:S128"/>
  <sheetViews>
    <sheetView showGridLines="0" workbookViewId="0">
      <selection activeCell="R2" sqref="R1:S1048576"/>
    </sheetView>
  </sheetViews>
  <sheetFormatPr defaultRowHeight="15" x14ac:dyDescent="0.25"/>
  <cols>
    <col min="1" max="1" width="17.28515625" customWidth="1"/>
    <col min="2" max="2" width="14.28515625" bestFit="1" customWidth="1"/>
    <col min="3" max="4" width="9.140625" style="2"/>
    <col min="5" max="5" width="3.28515625" customWidth="1"/>
    <col min="6" max="6" width="15.140625" customWidth="1"/>
    <col min="7" max="7" width="13.7109375" bestFit="1" customWidth="1"/>
    <col min="8" max="9" width="9.140625" style="2"/>
    <col min="10" max="10" width="3.42578125" customWidth="1"/>
    <col min="11" max="11" width="22.7109375" customWidth="1"/>
    <col min="12" max="12" width="13.85546875" bestFit="1" customWidth="1"/>
    <col min="13" max="14" width="9.140625" style="2"/>
    <col min="15" max="15" width="3.28515625" customWidth="1"/>
    <col min="16" max="16" width="21.5703125" customWidth="1"/>
    <col min="17" max="17" width="13.5703125" bestFit="1" customWidth="1"/>
    <col min="18" max="19" width="9.140625" style="2"/>
  </cols>
  <sheetData>
    <row r="1" spans="1:19" ht="16.5" thickBot="1" x14ac:dyDescent="0.3">
      <c r="A1" s="17" t="s">
        <v>223</v>
      </c>
      <c r="B1" s="18"/>
      <c r="C1" s="18"/>
      <c r="D1" s="19"/>
      <c r="F1" s="12" t="s">
        <v>424</v>
      </c>
      <c r="G1" s="13"/>
      <c r="H1" s="13"/>
      <c r="I1" s="16"/>
      <c r="K1" s="12" t="s">
        <v>555</v>
      </c>
      <c r="L1" s="13"/>
      <c r="M1" s="13"/>
      <c r="N1" s="16"/>
      <c r="P1" s="12" t="s">
        <v>620</v>
      </c>
      <c r="Q1" s="13"/>
      <c r="R1" s="13"/>
      <c r="S1" s="16"/>
    </row>
    <row r="2" spans="1:19" ht="15.75" thickBot="1" x14ac:dyDescent="0.3">
      <c r="C2" s="27" t="s">
        <v>631</v>
      </c>
      <c r="D2" s="28" t="s">
        <v>630</v>
      </c>
      <c r="H2" s="35" t="s">
        <v>631</v>
      </c>
      <c r="I2" s="35" t="s">
        <v>630</v>
      </c>
      <c r="M2" s="35" t="s">
        <v>631</v>
      </c>
      <c r="N2" s="35" t="s">
        <v>630</v>
      </c>
      <c r="R2" s="35" t="s">
        <v>631</v>
      </c>
      <c r="S2" s="35" t="s">
        <v>630</v>
      </c>
    </row>
    <row r="3" spans="1:19" x14ac:dyDescent="0.25">
      <c r="A3" s="20" t="s">
        <v>3</v>
      </c>
      <c r="B3" s="21" t="s">
        <v>4</v>
      </c>
      <c r="C3" s="29">
        <v>2424</v>
      </c>
      <c r="D3" s="30">
        <f>C3/500</f>
        <v>4.8479999999999999</v>
      </c>
      <c r="F3" s="20" t="s">
        <v>632</v>
      </c>
      <c r="G3" s="21" t="s">
        <v>225</v>
      </c>
      <c r="H3" s="29">
        <v>2748</v>
      </c>
      <c r="I3" s="30">
        <f>H3/500</f>
        <v>5.4960000000000004</v>
      </c>
      <c r="K3" s="20" t="s">
        <v>425</v>
      </c>
      <c r="L3" s="21" t="s">
        <v>426</v>
      </c>
      <c r="M3" s="29">
        <v>472</v>
      </c>
      <c r="N3" s="30">
        <f>M3/500</f>
        <v>0.94399999999999995</v>
      </c>
      <c r="P3" s="20" t="s">
        <v>556</v>
      </c>
      <c r="Q3" s="21" t="s">
        <v>557</v>
      </c>
      <c r="R3" s="29">
        <v>4728</v>
      </c>
      <c r="S3" s="30">
        <f>R3/500</f>
        <v>9.4559999999999995</v>
      </c>
    </row>
    <row r="4" spans="1:19" x14ac:dyDescent="0.25">
      <c r="A4" s="22" t="s">
        <v>5</v>
      </c>
      <c r="B4" s="5" t="s">
        <v>6</v>
      </c>
      <c r="C4" s="31">
        <v>10556</v>
      </c>
      <c r="D4" s="32">
        <f t="shared" ref="D4:D67" si="0">C4/500</f>
        <v>21.111999999999998</v>
      </c>
      <c r="F4" s="22" t="s">
        <v>633</v>
      </c>
      <c r="G4" s="5" t="s">
        <v>227</v>
      </c>
      <c r="H4" s="31">
        <v>3311</v>
      </c>
      <c r="I4" s="32">
        <f t="shared" ref="I4:I66" si="1">H4/500</f>
        <v>6.6219999999999999</v>
      </c>
      <c r="K4" s="22" t="s">
        <v>427</v>
      </c>
      <c r="L4" s="5" t="s">
        <v>428</v>
      </c>
      <c r="M4" s="31">
        <v>1467</v>
      </c>
      <c r="N4" s="32">
        <f t="shared" ref="N4:N67" si="2">M4/500</f>
        <v>2.9340000000000002</v>
      </c>
      <c r="P4" s="22" t="s">
        <v>558</v>
      </c>
      <c r="Q4" s="5" t="s">
        <v>559</v>
      </c>
      <c r="R4" s="31">
        <v>3456</v>
      </c>
      <c r="S4" s="32">
        <f t="shared" ref="S4:S34" si="3">R4/500</f>
        <v>6.9119999999999999</v>
      </c>
    </row>
    <row r="5" spans="1:19" x14ac:dyDescent="0.25">
      <c r="A5" s="22" t="s">
        <v>7</v>
      </c>
      <c r="B5" s="5" t="s">
        <v>8</v>
      </c>
      <c r="C5" s="31">
        <v>1371</v>
      </c>
      <c r="D5" s="32">
        <f t="shared" si="0"/>
        <v>2.742</v>
      </c>
      <c r="F5" s="22" t="s">
        <v>634</v>
      </c>
      <c r="G5" s="5" t="s">
        <v>229</v>
      </c>
      <c r="H5" s="31">
        <v>1854</v>
      </c>
      <c r="I5" s="32">
        <f t="shared" si="1"/>
        <v>3.7080000000000002</v>
      </c>
      <c r="K5" s="22" t="s">
        <v>429</v>
      </c>
      <c r="L5" s="5" t="s">
        <v>430</v>
      </c>
      <c r="M5" s="31">
        <v>9713</v>
      </c>
      <c r="N5" s="32">
        <f t="shared" si="2"/>
        <v>19.425999999999998</v>
      </c>
      <c r="P5" s="22" t="s">
        <v>560</v>
      </c>
      <c r="Q5" s="5" t="s">
        <v>561</v>
      </c>
      <c r="R5" s="31">
        <v>3246</v>
      </c>
      <c r="S5" s="32">
        <f t="shared" si="3"/>
        <v>6.492</v>
      </c>
    </row>
    <row r="6" spans="1:19" x14ac:dyDescent="0.25">
      <c r="A6" s="22" t="s">
        <v>3</v>
      </c>
      <c r="B6" s="5" t="s">
        <v>9</v>
      </c>
      <c r="C6" s="31">
        <v>3984</v>
      </c>
      <c r="D6" s="32">
        <f t="shared" si="0"/>
        <v>7.968</v>
      </c>
      <c r="F6" s="22" t="s">
        <v>230</v>
      </c>
      <c r="G6" s="5" t="s">
        <v>231</v>
      </c>
      <c r="H6" s="31">
        <v>3898</v>
      </c>
      <c r="I6" s="32">
        <f t="shared" si="1"/>
        <v>7.7960000000000003</v>
      </c>
      <c r="K6" s="22" t="s">
        <v>431</v>
      </c>
      <c r="L6" s="5" t="s">
        <v>432</v>
      </c>
      <c r="M6" s="31">
        <v>12696</v>
      </c>
      <c r="N6" s="32">
        <f t="shared" si="2"/>
        <v>25.391999999999999</v>
      </c>
      <c r="P6" s="22" t="s">
        <v>562</v>
      </c>
      <c r="Q6" s="5" t="s">
        <v>563</v>
      </c>
      <c r="R6" s="31">
        <v>1823</v>
      </c>
      <c r="S6" s="32">
        <f t="shared" si="3"/>
        <v>3.6459999999999999</v>
      </c>
    </row>
    <row r="7" spans="1:19" x14ac:dyDescent="0.25">
      <c r="A7" s="22" t="s">
        <v>10</v>
      </c>
      <c r="B7" s="5" t="s">
        <v>11</v>
      </c>
      <c r="C7" s="31">
        <v>1470</v>
      </c>
      <c r="D7" s="32">
        <f t="shared" si="0"/>
        <v>2.94</v>
      </c>
      <c r="F7" s="22" t="s">
        <v>635</v>
      </c>
      <c r="G7" s="5" t="s">
        <v>233</v>
      </c>
      <c r="H7" s="31">
        <v>1175</v>
      </c>
      <c r="I7" s="32">
        <f t="shared" si="1"/>
        <v>2.35</v>
      </c>
      <c r="K7" s="22" t="s">
        <v>433</v>
      </c>
      <c r="L7" s="5" t="s">
        <v>434</v>
      </c>
      <c r="M7" s="31">
        <v>1063</v>
      </c>
      <c r="N7" s="32">
        <f t="shared" si="2"/>
        <v>2.1259999999999999</v>
      </c>
      <c r="P7" s="22" t="s">
        <v>564</v>
      </c>
      <c r="Q7" s="5" t="s">
        <v>565</v>
      </c>
      <c r="R7" s="31">
        <v>5666</v>
      </c>
      <c r="S7" s="32">
        <f t="shared" si="3"/>
        <v>11.332000000000001</v>
      </c>
    </row>
    <row r="8" spans="1:19" x14ac:dyDescent="0.25">
      <c r="A8" s="22" t="s">
        <v>12</v>
      </c>
      <c r="B8" s="5" t="s">
        <v>13</v>
      </c>
      <c r="C8" s="31">
        <v>658</v>
      </c>
      <c r="D8" s="32">
        <f t="shared" si="0"/>
        <v>1.3160000000000001</v>
      </c>
      <c r="F8" s="22" t="s">
        <v>636</v>
      </c>
      <c r="G8" s="5" t="s">
        <v>235</v>
      </c>
      <c r="H8" s="31">
        <v>6888</v>
      </c>
      <c r="I8" s="32">
        <f t="shared" si="1"/>
        <v>13.776</v>
      </c>
      <c r="K8" s="22" t="s">
        <v>435</v>
      </c>
      <c r="L8" s="5" t="s">
        <v>436</v>
      </c>
      <c r="M8" s="31">
        <v>6162</v>
      </c>
      <c r="N8" s="32">
        <f t="shared" si="2"/>
        <v>12.324</v>
      </c>
      <c r="P8" s="22" t="s">
        <v>566</v>
      </c>
      <c r="Q8" s="5" t="s">
        <v>567</v>
      </c>
      <c r="R8" s="31">
        <v>1</v>
      </c>
      <c r="S8" s="32">
        <f t="shared" si="3"/>
        <v>2E-3</v>
      </c>
    </row>
    <row r="9" spans="1:19" x14ac:dyDescent="0.25">
      <c r="A9" s="22" t="s">
        <v>14</v>
      </c>
      <c r="B9" s="5" t="s">
        <v>15</v>
      </c>
      <c r="C9" s="31">
        <v>2232</v>
      </c>
      <c r="D9" s="32">
        <f t="shared" si="0"/>
        <v>4.4640000000000004</v>
      </c>
      <c r="F9" s="22" t="s">
        <v>637</v>
      </c>
      <c r="G9" s="5" t="s">
        <v>237</v>
      </c>
      <c r="H9" s="31">
        <v>3437</v>
      </c>
      <c r="I9" s="32">
        <f t="shared" si="1"/>
        <v>6.8739999999999997</v>
      </c>
      <c r="K9" s="22" t="s">
        <v>437</v>
      </c>
      <c r="L9" s="5" t="s">
        <v>438</v>
      </c>
      <c r="M9" s="31">
        <v>478</v>
      </c>
      <c r="N9" s="32">
        <f t="shared" si="2"/>
        <v>0.95599999999999996</v>
      </c>
      <c r="P9" s="22" t="s">
        <v>568</v>
      </c>
      <c r="Q9" s="5" t="s">
        <v>569</v>
      </c>
      <c r="R9" s="31">
        <v>1648</v>
      </c>
      <c r="S9" s="32">
        <f t="shared" si="3"/>
        <v>3.2959999999999998</v>
      </c>
    </row>
    <row r="10" spans="1:19" x14ac:dyDescent="0.25">
      <c r="A10" s="22" t="s">
        <v>16</v>
      </c>
      <c r="B10" s="5" t="s">
        <v>17</v>
      </c>
      <c r="C10" s="31">
        <v>191</v>
      </c>
      <c r="D10" s="32">
        <f t="shared" si="0"/>
        <v>0.38200000000000001</v>
      </c>
      <c r="F10" s="22" t="s">
        <v>638</v>
      </c>
      <c r="G10" s="5" t="s">
        <v>239</v>
      </c>
      <c r="H10" s="31">
        <v>5687</v>
      </c>
      <c r="I10" s="32">
        <f t="shared" si="1"/>
        <v>11.374000000000001</v>
      </c>
      <c r="K10" s="22" t="s">
        <v>439</v>
      </c>
      <c r="L10" s="5" t="s">
        <v>440</v>
      </c>
      <c r="M10" s="31">
        <v>102</v>
      </c>
      <c r="N10" s="32">
        <f t="shared" si="2"/>
        <v>0.20399999999999999</v>
      </c>
      <c r="P10" s="22" t="s">
        <v>570</v>
      </c>
      <c r="Q10" s="5" t="s">
        <v>571</v>
      </c>
      <c r="R10" s="31">
        <v>4683</v>
      </c>
      <c r="S10" s="32">
        <f t="shared" si="3"/>
        <v>9.3659999999999997</v>
      </c>
    </row>
    <row r="11" spans="1:19" x14ac:dyDescent="0.25">
      <c r="A11" s="22" t="s">
        <v>18</v>
      </c>
      <c r="B11" s="5" t="s">
        <v>19</v>
      </c>
      <c r="C11" s="31">
        <v>3268</v>
      </c>
      <c r="D11" s="32">
        <f t="shared" si="0"/>
        <v>6.5359999999999996</v>
      </c>
      <c r="F11" s="22" t="s">
        <v>639</v>
      </c>
      <c r="G11" s="5" t="s">
        <v>241</v>
      </c>
      <c r="H11" s="31">
        <v>2251</v>
      </c>
      <c r="I11" s="32">
        <f t="shared" si="1"/>
        <v>4.5019999999999998</v>
      </c>
      <c r="K11" s="22" t="s">
        <v>441</v>
      </c>
      <c r="L11" s="5" t="s">
        <v>442</v>
      </c>
      <c r="M11" s="31">
        <v>2655</v>
      </c>
      <c r="N11" s="32">
        <f t="shared" si="2"/>
        <v>5.31</v>
      </c>
      <c r="P11" s="22" t="s">
        <v>572</v>
      </c>
      <c r="Q11" s="5" t="s">
        <v>573</v>
      </c>
      <c r="R11" s="31">
        <v>4927</v>
      </c>
      <c r="S11" s="32">
        <f t="shared" si="3"/>
        <v>9.8539999999999992</v>
      </c>
    </row>
    <row r="12" spans="1:19" x14ac:dyDescent="0.25">
      <c r="A12" s="22" t="s">
        <v>20</v>
      </c>
      <c r="B12" s="5" t="s">
        <v>21</v>
      </c>
      <c r="C12" s="31">
        <v>1591</v>
      </c>
      <c r="D12" s="32">
        <f t="shared" si="0"/>
        <v>3.1819999999999999</v>
      </c>
      <c r="F12" s="22" t="s">
        <v>642</v>
      </c>
      <c r="G12" s="5" t="s">
        <v>243</v>
      </c>
      <c r="H12" s="31">
        <v>762</v>
      </c>
      <c r="I12" s="32">
        <f t="shared" si="1"/>
        <v>1.524</v>
      </c>
      <c r="K12" s="22" t="s">
        <v>443</v>
      </c>
      <c r="L12" s="5" t="s">
        <v>444</v>
      </c>
      <c r="M12" s="31">
        <v>864</v>
      </c>
      <c r="N12" s="32">
        <f t="shared" si="2"/>
        <v>1.728</v>
      </c>
      <c r="P12" s="22" t="s">
        <v>574</v>
      </c>
      <c r="Q12" s="5" t="s">
        <v>575</v>
      </c>
      <c r="R12" s="31">
        <v>73</v>
      </c>
      <c r="S12" s="32">
        <f t="shared" si="3"/>
        <v>0.14599999999999999</v>
      </c>
    </row>
    <row r="13" spans="1:19" x14ac:dyDescent="0.25">
      <c r="A13" s="22" t="s">
        <v>22</v>
      </c>
      <c r="B13" s="5" t="s">
        <v>23</v>
      </c>
      <c r="C13" s="31">
        <v>6574</v>
      </c>
      <c r="D13" s="32">
        <f t="shared" si="0"/>
        <v>13.148</v>
      </c>
      <c r="F13" s="22" t="s">
        <v>643</v>
      </c>
      <c r="G13" s="5" t="s">
        <v>244</v>
      </c>
      <c r="H13" s="31">
        <v>2777</v>
      </c>
      <c r="I13" s="32">
        <f t="shared" si="1"/>
        <v>5.5540000000000003</v>
      </c>
      <c r="K13" s="22" t="s">
        <v>445</v>
      </c>
      <c r="L13" s="5" t="s">
        <v>446</v>
      </c>
      <c r="M13" s="31">
        <v>848</v>
      </c>
      <c r="N13" s="32">
        <f t="shared" si="2"/>
        <v>1.696</v>
      </c>
      <c r="P13" s="22" t="s">
        <v>576</v>
      </c>
      <c r="Q13" s="5" t="s">
        <v>577</v>
      </c>
      <c r="R13" s="31">
        <v>4770</v>
      </c>
      <c r="S13" s="32">
        <f t="shared" si="3"/>
        <v>9.5399999999999991</v>
      </c>
    </row>
    <row r="14" spans="1:19" x14ac:dyDescent="0.25">
      <c r="A14" s="22" t="s">
        <v>24</v>
      </c>
      <c r="B14" s="5" t="s">
        <v>25</v>
      </c>
      <c r="C14" s="31">
        <v>1691</v>
      </c>
      <c r="D14" s="32">
        <f t="shared" si="0"/>
        <v>3.3820000000000001</v>
      </c>
      <c r="F14" s="22" t="s">
        <v>644</v>
      </c>
      <c r="G14" s="5" t="s">
        <v>246</v>
      </c>
      <c r="H14" s="31">
        <v>3589</v>
      </c>
      <c r="I14" s="32">
        <f t="shared" si="1"/>
        <v>7.1779999999999999</v>
      </c>
      <c r="K14" s="22" t="s">
        <v>447</v>
      </c>
      <c r="L14" s="5" t="s">
        <v>448</v>
      </c>
      <c r="M14" s="31">
        <v>981</v>
      </c>
      <c r="N14" s="32">
        <f t="shared" si="2"/>
        <v>1.962</v>
      </c>
      <c r="P14" s="22" t="s">
        <v>578</v>
      </c>
      <c r="Q14" s="5" t="s">
        <v>579</v>
      </c>
      <c r="R14" s="31">
        <v>8488</v>
      </c>
      <c r="S14" s="32">
        <f t="shared" si="3"/>
        <v>16.975999999999999</v>
      </c>
    </row>
    <row r="15" spans="1:19" x14ac:dyDescent="0.25">
      <c r="A15" s="22" t="s">
        <v>26</v>
      </c>
      <c r="B15" s="5" t="s">
        <v>27</v>
      </c>
      <c r="C15" s="31">
        <v>403</v>
      </c>
      <c r="D15" s="32">
        <f t="shared" si="0"/>
        <v>0.80600000000000005</v>
      </c>
      <c r="F15" s="22" t="s">
        <v>645</v>
      </c>
      <c r="G15" s="5" t="s">
        <v>248</v>
      </c>
      <c r="H15" s="31">
        <v>4700</v>
      </c>
      <c r="I15" s="32">
        <f t="shared" si="1"/>
        <v>9.4</v>
      </c>
      <c r="K15" s="22" t="s">
        <v>449</v>
      </c>
      <c r="L15" s="5" t="s">
        <v>450</v>
      </c>
      <c r="M15" s="31">
        <v>36</v>
      </c>
      <c r="N15" s="32">
        <f t="shared" si="2"/>
        <v>7.1999999999999995E-2</v>
      </c>
      <c r="P15" s="22" t="s">
        <v>580</v>
      </c>
      <c r="Q15" s="5" t="s">
        <v>581</v>
      </c>
      <c r="R15" s="31">
        <v>4361</v>
      </c>
      <c r="S15" s="32">
        <f t="shared" si="3"/>
        <v>8.7219999999999995</v>
      </c>
    </row>
    <row r="16" spans="1:19" x14ac:dyDescent="0.25">
      <c r="A16" s="22" t="s">
        <v>22</v>
      </c>
      <c r="B16" s="5" t="s">
        <v>28</v>
      </c>
      <c r="C16" s="31">
        <v>1037</v>
      </c>
      <c r="D16" s="32">
        <f t="shared" si="0"/>
        <v>2.0739999999999998</v>
      </c>
      <c r="F16" s="22" t="s">
        <v>646</v>
      </c>
      <c r="G16" s="5" t="s">
        <v>250</v>
      </c>
      <c r="H16" s="31">
        <v>5104</v>
      </c>
      <c r="I16" s="32">
        <f t="shared" si="1"/>
        <v>10.208</v>
      </c>
      <c r="K16" s="22" t="s">
        <v>451</v>
      </c>
      <c r="L16" s="5" t="s">
        <v>452</v>
      </c>
      <c r="M16" s="31">
        <v>3160</v>
      </c>
      <c r="N16" s="32">
        <f t="shared" si="2"/>
        <v>6.32</v>
      </c>
      <c r="P16" s="22" t="s">
        <v>582</v>
      </c>
      <c r="Q16" s="5" t="s">
        <v>583</v>
      </c>
      <c r="R16" s="31">
        <v>0</v>
      </c>
      <c r="S16" s="32">
        <f t="shared" si="3"/>
        <v>0</v>
      </c>
    </row>
    <row r="17" spans="1:19" x14ac:dyDescent="0.25">
      <c r="A17" s="22" t="s">
        <v>29</v>
      </c>
      <c r="B17" s="5" t="s">
        <v>30</v>
      </c>
      <c r="C17" s="31">
        <v>1338</v>
      </c>
      <c r="D17" s="32">
        <f t="shared" si="0"/>
        <v>2.6760000000000002</v>
      </c>
      <c r="F17" s="22" t="s">
        <v>647</v>
      </c>
      <c r="G17" s="5" t="s">
        <v>252</v>
      </c>
      <c r="H17" s="31">
        <v>2429</v>
      </c>
      <c r="I17" s="32">
        <f t="shared" si="1"/>
        <v>4.8579999999999997</v>
      </c>
      <c r="K17" s="22" t="s">
        <v>453</v>
      </c>
      <c r="L17" s="5" t="s">
        <v>454</v>
      </c>
      <c r="M17" s="31">
        <v>11054</v>
      </c>
      <c r="N17" s="32">
        <f t="shared" si="2"/>
        <v>22.108000000000001</v>
      </c>
      <c r="P17" s="22" t="s">
        <v>584</v>
      </c>
      <c r="Q17" s="5" t="s">
        <v>585</v>
      </c>
      <c r="R17" s="31">
        <v>5995</v>
      </c>
      <c r="S17" s="32">
        <f t="shared" si="3"/>
        <v>11.99</v>
      </c>
    </row>
    <row r="18" spans="1:19" x14ac:dyDescent="0.25">
      <c r="A18" s="22" t="s">
        <v>31</v>
      </c>
      <c r="B18" s="5" t="s">
        <v>32</v>
      </c>
      <c r="C18" s="31">
        <v>2644</v>
      </c>
      <c r="D18" s="32">
        <f t="shared" si="0"/>
        <v>5.2880000000000003</v>
      </c>
      <c r="F18" s="22" t="s">
        <v>648</v>
      </c>
      <c r="G18" s="5" t="s">
        <v>254</v>
      </c>
      <c r="H18" s="31">
        <v>1728</v>
      </c>
      <c r="I18" s="32">
        <f t="shared" si="1"/>
        <v>3.456</v>
      </c>
      <c r="K18" s="22" t="s">
        <v>453</v>
      </c>
      <c r="L18" s="5" t="s">
        <v>455</v>
      </c>
      <c r="M18" s="31">
        <v>6810</v>
      </c>
      <c r="N18" s="32">
        <f t="shared" si="2"/>
        <v>13.62</v>
      </c>
      <c r="P18" s="22" t="s">
        <v>586</v>
      </c>
      <c r="Q18" s="5" t="s">
        <v>587</v>
      </c>
      <c r="R18" s="31">
        <v>3111</v>
      </c>
      <c r="S18" s="32">
        <f t="shared" si="3"/>
        <v>6.2220000000000004</v>
      </c>
    </row>
    <row r="19" spans="1:19" x14ac:dyDescent="0.25">
      <c r="A19" s="22" t="s">
        <v>33</v>
      </c>
      <c r="B19" s="5" t="s">
        <v>34</v>
      </c>
      <c r="C19" s="31">
        <v>2387</v>
      </c>
      <c r="D19" s="32">
        <f t="shared" si="0"/>
        <v>4.774</v>
      </c>
      <c r="F19" s="22" t="s">
        <v>649</v>
      </c>
      <c r="G19" s="5" t="s">
        <v>256</v>
      </c>
      <c r="H19" s="31">
        <v>1571</v>
      </c>
      <c r="I19" s="32">
        <f t="shared" si="1"/>
        <v>3.1419999999999999</v>
      </c>
      <c r="K19" s="22" t="s">
        <v>456</v>
      </c>
      <c r="L19" s="5" t="s">
        <v>457</v>
      </c>
      <c r="M19" s="31">
        <v>26339</v>
      </c>
      <c r="N19" s="32">
        <f t="shared" si="2"/>
        <v>52.677999999999997</v>
      </c>
      <c r="P19" s="22" t="s">
        <v>588</v>
      </c>
      <c r="Q19" s="5" t="s">
        <v>589</v>
      </c>
      <c r="R19" s="31">
        <v>14261</v>
      </c>
      <c r="S19" s="32">
        <f t="shared" si="3"/>
        <v>28.521999999999998</v>
      </c>
    </row>
    <row r="20" spans="1:19" x14ac:dyDescent="0.25">
      <c r="A20" s="22" t="s">
        <v>35</v>
      </c>
      <c r="B20" s="5" t="s">
        <v>36</v>
      </c>
      <c r="C20" s="31">
        <v>5021</v>
      </c>
      <c r="D20" s="32">
        <f t="shared" si="0"/>
        <v>10.042</v>
      </c>
      <c r="F20" s="22" t="s">
        <v>650</v>
      </c>
      <c r="G20" s="5" t="s">
        <v>258</v>
      </c>
      <c r="H20" s="31">
        <v>3506</v>
      </c>
      <c r="I20" s="32">
        <f t="shared" si="1"/>
        <v>7.0119999999999996</v>
      </c>
      <c r="K20" s="22" t="s">
        <v>458</v>
      </c>
      <c r="L20" s="5" t="s">
        <v>459</v>
      </c>
      <c r="M20" s="31">
        <v>14262</v>
      </c>
      <c r="N20" s="32">
        <f t="shared" si="2"/>
        <v>28.524000000000001</v>
      </c>
      <c r="P20" s="22" t="s">
        <v>590</v>
      </c>
      <c r="Q20" s="5" t="s">
        <v>591</v>
      </c>
      <c r="R20" s="31">
        <v>3067</v>
      </c>
      <c r="S20" s="32">
        <f t="shared" si="3"/>
        <v>6.1340000000000003</v>
      </c>
    </row>
    <row r="21" spans="1:19" x14ac:dyDescent="0.25">
      <c r="A21" s="22" t="s">
        <v>35</v>
      </c>
      <c r="B21" s="5" t="s">
        <v>37</v>
      </c>
      <c r="C21" s="31">
        <v>2149</v>
      </c>
      <c r="D21" s="32">
        <f t="shared" si="0"/>
        <v>4.298</v>
      </c>
      <c r="F21" s="22" t="s">
        <v>651</v>
      </c>
      <c r="G21" s="5" t="s">
        <v>260</v>
      </c>
      <c r="H21" s="31">
        <v>2077</v>
      </c>
      <c r="I21" s="32">
        <f t="shared" si="1"/>
        <v>4.1539999999999999</v>
      </c>
      <c r="K21" s="22" t="s">
        <v>460</v>
      </c>
      <c r="L21" s="5" t="s">
        <v>461</v>
      </c>
      <c r="M21" s="31">
        <v>18541</v>
      </c>
      <c r="N21" s="32">
        <f t="shared" si="2"/>
        <v>37.082000000000001</v>
      </c>
      <c r="P21" s="22" t="s">
        <v>592</v>
      </c>
      <c r="Q21" s="5" t="s">
        <v>593</v>
      </c>
      <c r="R21" s="31">
        <v>0</v>
      </c>
      <c r="S21" s="32">
        <f t="shared" si="3"/>
        <v>0</v>
      </c>
    </row>
    <row r="22" spans="1:19" x14ac:dyDescent="0.25">
      <c r="A22" s="22" t="s">
        <v>38</v>
      </c>
      <c r="B22" s="5" t="s">
        <v>39</v>
      </c>
      <c r="C22" s="31">
        <v>8353</v>
      </c>
      <c r="D22" s="32">
        <f t="shared" si="0"/>
        <v>16.706</v>
      </c>
      <c r="F22" s="22" t="s">
        <v>652</v>
      </c>
      <c r="G22" s="5" t="s">
        <v>262</v>
      </c>
      <c r="H22" s="31">
        <v>3135</v>
      </c>
      <c r="I22" s="32">
        <f t="shared" si="1"/>
        <v>6.27</v>
      </c>
      <c r="K22" s="22" t="s">
        <v>462</v>
      </c>
      <c r="L22" s="5" t="s">
        <v>463</v>
      </c>
      <c r="M22" s="31">
        <v>15147</v>
      </c>
      <c r="N22" s="32">
        <f t="shared" si="2"/>
        <v>30.294</v>
      </c>
      <c r="P22" s="22" t="s">
        <v>594</v>
      </c>
      <c r="Q22" s="5" t="s">
        <v>595</v>
      </c>
      <c r="R22" s="31">
        <v>11312</v>
      </c>
      <c r="S22" s="32">
        <f t="shared" si="3"/>
        <v>22.623999999999999</v>
      </c>
    </row>
    <row r="23" spans="1:19" x14ac:dyDescent="0.25">
      <c r="A23" s="22" t="s">
        <v>40</v>
      </c>
      <c r="B23" s="5" t="s">
        <v>41</v>
      </c>
      <c r="C23" s="31">
        <v>11026</v>
      </c>
      <c r="D23" s="32">
        <f t="shared" si="0"/>
        <v>22.052</v>
      </c>
      <c r="F23" s="22" t="s">
        <v>653</v>
      </c>
      <c r="G23" s="5" t="s">
        <v>264</v>
      </c>
      <c r="H23" s="31">
        <v>14084</v>
      </c>
      <c r="I23" s="32">
        <f t="shared" si="1"/>
        <v>28.167999999999999</v>
      </c>
      <c r="K23" s="22" t="s">
        <v>464</v>
      </c>
      <c r="L23" s="5" t="s">
        <v>465</v>
      </c>
      <c r="M23" s="31">
        <v>21385</v>
      </c>
      <c r="N23" s="32">
        <f t="shared" si="2"/>
        <v>42.77</v>
      </c>
      <c r="P23" s="22" t="s">
        <v>596</v>
      </c>
      <c r="Q23" s="5" t="s">
        <v>597</v>
      </c>
      <c r="R23" s="31">
        <v>3920</v>
      </c>
      <c r="S23" s="32">
        <f t="shared" si="3"/>
        <v>7.84</v>
      </c>
    </row>
    <row r="24" spans="1:19" x14ac:dyDescent="0.25">
      <c r="A24" s="22" t="s">
        <v>42</v>
      </c>
      <c r="B24" s="5" t="s">
        <v>43</v>
      </c>
      <c r="C24" s="31">
        <v>688</v>
      </c>
      <c r="D24" s="32">
        <f t="shared" si="0"/>
        <v>1.3759999999999999</v>
      </c>
      <c r="F24" s="22" t="s">
        <v>654</v>
      </c>
      <c r="G24" s="5" t="s">
        <v>266</v>
      </c>
      <c r="H24" s="31">
        <v>2378</v>
      </c>
      <c r="I24" s="32">
        <f t="shared" si="1"/>
        <v>4.7560000000000002</v>
      </c>
      <c r="K24" s="22" t="s">
        <v>466</v>
      </c>
      <c r="L24" s="5" t="s">
        <v>467</v>
      </c>
      <c r="M24" s="31">
        <v>23269</v>
      </c>
      <c r="N24" s="32">
        <f t="shared" si="2"/>
        <v>46.537999999999997</v>
      </c>
      <c r="P24" s="22" t="s">
        <v>598</v>
      </c>
      <c r="Q24" s="5" t="s">
        <v>599</v>
      </c>
      <c r="R24" s="31">
        <v>1058</v>
      </c>
      <c r="S24" s="32">
        <f t="shared" si="3"/>
        <v>2.1160000000000001</v>
      </c>
    </row>
    <row r="25" spans="1:19" x14ac:dyDescent="0.25">
      <c r="A25" s="22" t="s">
        <v>44</v>
      </c>
      <c r="B25" s="5" t="s">
        <v>45</v>
      </c>
      <c r="C25" s="31">
        <v>1575</v>
      </c>
      <c r="D25" s="32">
        <f t="shared" si="0"/>
        <v>3.15</v>
      </c>
      <c r="F25" s="22" t="s">
        <v>655</v>
      </c>
      <c r="G25" s="5" t="s">
        <v>268</v>
      </c>
      <c r="H25" s="31">
        <v>14440</v>
      </c>
      <c r="I25" s="32">
        <f t="shared" si="1"/>
        <v>28.88</v>
      </c>
      <c r="K25" s="22" t="s">
        <v>468</v>
      </c>
      <c r="L25" s="5" t="s">
        <v>469</v>
      </c>
      <c r="M25" s="31">
        <v>26079</v>
      </c>
      <c r="N25" s="32">
        <f t="shared" si="2"/>
        <v>52.158000000000001</v>
      </c>
      <c r="P25" s="22" t="s">
        <v>600</v>
      </c>
      <c r="Q25" s="5" t="s">
        <v>601</v>
      </c>
      <c r="R25" s="31">
        <v>7936</v>
      </c>
      <c r="S25" s="32">
        <f t="shared" si="3"/>
        <v>15.872</v>
      </c>
    </row>
    <row r="26" spans="1:19" x14ac:dyDescent="0.25">
      <c r="A26" s="22" t="s">
        <v>46</v>
      </c>
      <c r="B26" s="5" t="s">
        <v>47</v>
      </c>
      <c r="C26" s="31">
        <v>687</v>
      </c>
      <c r="D26" s="32">
        <f t="shared" si="0"/>
        <v>1.3740000000000001</v>
      </c>
      <c r="F26" s="22" t="s">
        <v>656</v>
      </c>
      <c r="G26" s="5" t="s">
        <v>270</v>
      </c>
      <c r="H26" s="31">
        <v>12947</v>
      </c>
      <c r="I26" s="32">
        <f t="shared" si="1"/>
        <v>25.893999999999998</v>
      </c>
      <c r="K26" s="22" t="s">
        <v>470</v>
      </c>
      <c r="L26" s="5" t="s">
        <v>471</v>
      </c>
      <c r="M26" s="31">
        <v>78285</v>
      </c>
      <c r="N26" s="32">
        <f t="shared" si="2"/>
        <v>156.57</v>
      </c>
      <c r="P26" s="22" t="s">
        <v>602</v>
      </c>
      <c r="Q26" s="5" t="s">
        <v>603</v>
      </c>
      <c r="R26" s="31">
        <v>5500</v>
      </c>
      <c r="S26" s="32">
        <f t="shared" si="3"/>
        <v>11</v>
      </c>
    </row>
    <row r="27" spans="1:19" x14ac:dyDescent="0.25">
      <c r="A27" s="22" t="s">
        <v>48</v>
      </c>
      <c r="B27" s="5" t="s">
        <v>49</v>
      </c>
      <c r="C27" s="31">
        <v>1795</v>
      </c>
      <c r="D27" s="32">
        <f t="shared" si="0"/>
        <v>3.59</v>
      </c>
      <c r="F27" s="22" t="s">
        <v>657</v>
      </c>
      <c r="G27" s="5" t="s">
        <v>272</v>
      </c>
      <c r="H27" s="31">
        <v>4240</v>
      </c>
      <c r="I27" s="32">
        <f t="shared" si="1"/>
        <v>8.48</v>
      </c>
      <c r="K27" s="22" t="s">
        <v>472</v>
      </c>
      <c r="L27" s="5" t="s">
        <v>473</v>
      </c>
      <c r="M27" s="31">
        <v>19944</v>
      </c>
      <c r="N27" s="32">
        <f t="shared" si="2"/>
        <v>39.887999999999998</v>
      </c>
      <c r="P27" s="22" t="s">
        <v>604</v>
      </c>
      <c r="Q27" s="5" t="s">
        <v>605</v>
      </c>
      <c r="R27" s="31">
        <v>5504</v>
      </c>
      <c r="S27" s="32">
        <f t="shared" si="3"/>
        <v>11.007999999999999</v>
      </c>
    </row>
    <row r="28" spans="1:19" x14ac:dyDescent="0.25">
      <c r="A28" s="22" t="s">
        <v>5</v>
      </c>
      <c r="B28" s="5" t="s">
        <v>50</v>
      </c>
      <c r="C28" s="31">
        <v>6824</v>
      </c>
      <c r="D28" s="32">
        <f t="shared" si="0"/>
        <v>13.648</v>
      </c>
      <c r="F28" s="22" t="s">
        <v>658</v>
      </c>
      <c r="G28" s="5" t="s">
        <v>274</v>
      </c>
      <c r="H28" s="31">
        <v>10738</v>
      </c>
      <c r="I28" s="32">
        <f t="shared" si="1"/>
        <v>21.475999999999999</v>
      </c>
      <c r="K28" s="22" t="s">
        <v>474</v>
      </c>
      <c r="L28" s="5" t="s">
        <v>475</v>
      </c>
      <c r="M28" s="31">
        <v>10139</v>
      </c>
      <c r="N28" s="32">
        <f t="shared" si="2"/>
        <v>20.277999999999999</v>
      </c>
      <c r="P28" s="22" t="s">
        <v>606</v>
      </c>
      <c r="Q28" s="5" t="s">
        <v>607</v>
      </c>
      <c r="R28" s="31">
        <v>5501</v>
      </c>
      <c r="S28" s="32">
        <f t="shared" si="3"/>
        <v>11.002000000000001</v>
      </c>
    </row>
    <row r="29" spans="1:19" x14ac:dyDescent="0.25">
      <c r="A29" s="22" t="s">
        <v>51</v>
      </c>
      <c r="B29" s="5" t="s">
        <v>52</v>
      </c>
      <c r="C29" s="31">
        <v>6395</v>
      </c>
      <c r="D29" s="32">
        <f t="shared" si="0"/>
        <v>12.79</v>
      </c>
      <c r="F29" s="22" t="s">
        <v>659</v>
      </c>
      <c r="G29" s="5" t="s">
        <v>276</v>
      </c>
      <c r="H29" s="31">
        <v>9599</v>
      </c>
      <c r="I29" s="32">
        <f t="shared" si="1"/>
        <v>19.198</v>
      </c>
      <c r="K29" s="22" t="s">
        <v>476</v>
      </c>
      <c r="L29" s="5" t="s">
        <v>477</v>
      </c>
      <c r="M29" s="31">
        <v>8537</v>
      </c>
      <c r="N29" s="32">
        <f t="shared" si="2"/>
        <v>17.074000000000002</v>
      </c>
      <c r="P29" s="22" t="s">
        <v>608</v>
      </c>
      <c r="Q29" s="5" t="s">
        <v>219</v>
      </c>
      <c r="R29" s="31">
        <v>3907</v>
      </c>
      <c r="S29" s="32">
        <f t="shared" si="3"/>
        <v>7.8140000000000001</v>
      </c>
    </row>
    <row r="30" spans="1:19" x14ac:dyDescent="0.25">
      <c r="A30" s="22" t="s">
        <v>53</v>
      </c>
      <c r="B30" s="5" t="s">
        <v>54</v>
      </c>
      <c r="C30" s="31">
        <v>5603</v>
      </c>
      <c r="D30" s="32">
        <f t="shared" si="0"/>
        <v>11.206</v>
      </c>
      <c r="F30" s="22" t="s">
        <v>660</v>
      </c>
      <c r="G30" s="5" t="s">
        <v>278</v>
      </c>
      <c r="H30" s="31">
        <v>6576</v>
      </c>
      <c r="I30" s="32">
        <f t="shared" si="1"/>
        <v>13.151999999999999</v>
      </c>
      <c r="K30" s="22" t="s">
        <v>478</v>
      </c>
      <c r="L30" s="5" t="s">
        <v>479</v>
      </c>
      <c r="M30" s="31">
        <v>9332</v>
      </c>
      <c r="N30" s="32">
        <f t="shared" si="2"/>
        <v>18.664000000000001</v>
      </c>
      <c r="P30" s="22" t="s">
        <v>609</v>
      </c>
      <c r="Q30" s="5" t="s">
        <v>610</v>
      </c>
      <c r="R30" s="31">
        <v>23138</v>
      </c>
      <c r="S30" s="32">
        <f t="shared" si="3"/>
        <v>46.276000000000003</v>
      </c>
    </row>
    <row r="31" spans="1:19" x14ac:dyDescent="0.25">
      <c r="A31" s="22" t="s">
        <v>55</v>
      </c>
      <c r="B31" s="5" t="s">
        <v>56</v>
      </c>
      <c r="C31" s="31">
        <v>302</v>
      </c>
      <c r="D31" s="32">
        <f t="shared" si="0"/>
        <v>0.60399999999999998</v>
      </c>
      <c r="F31" s="22" t="s">
        <v>661</v>
      </c>
      <c r="G31" s="5" t="s">
        <v>282</v>
      </c>
      <c r="H31" s="31">
        <v>2806</v>
      </c>
      <c r="I31" s="32">
        <f t="shared" si="1"/>
        <v>5.6120000000000001</v>
      </c>
      <c r="K31" s="22" t="s">
        <v>480</v>
      </c>
      <c r="L31" s="5" t="s">
        <v>481</v>
      </c>
      <c r="M31" s="31">
        <v>5206</v>
      </c>
      <c r="N31" s="32">
        <f t="shared" si="2"/>
        <v>10.412000000000001</v>
      </c>
      <c r="P31" s="22" t="s">
        <v>611</v>
      </c>
      <c r="Q31" s="5" t="s">
        <v>612</v>
      </c>
      <c r="R31" s="31">
        <v>3984</v>
      </c>
      <c r="S31" s="32">
        <f t="shared" si="3"/>
        <v>7.968</v>
      </c>
    </row>
    <row r="32" spans="1:19" x14ac:dyDescent="0.25">
      <c r="A32" s="22" t="s">
        <v>57</v>
      </c>
      <c r="B32" s="5" t="s">
        <v>58</v>
      </c>
      <c r="C32" s="31">
        <v>3285</v>
      </c>
      <c r="D32" s="32">
        <f t="shared" si="0"/>
        <v>6.57</v>
      </c>
      <c r="F32" s="22" t="s">
        <v>662</v>
      </c>
      <c r="G32" s="5" t="s">
        <v>284</v>
      </c>
      <c r="H32" s="31">
        <v>2272</v>
      </c>
      <c r="I32" s="32">
        <f t="shared" si="1"/>
        <v>4.5439999999999996</v>
      </c>
      <c r="K32" s="22" t="s">
        <v>482</v>
      </c>
      <c r="L32" s="5" t="s">
        <v>483</v>
      </c>
      <c r="M32" s="31">
        <v>17478</v>
      </c>
      <c r="N32" s="32">
        <f t="shared" si="2"/>
        <v>34.956000000000003</v>
      </c>
      <c r="P32" s="22" t="s">
        <v>613</v>
      </c>
      <c r="Q32" s="5" t="s">
        <v>614</v>
      </c>
      <c r="R32" s="31">
        <v>8148</v>
      </c>
      <c r="S32" s="32">
        <f t="shared" si="3"/>
        <v>16.295999999999999</v>
      </c>
    </row>
    <row r="33" spans="1:19" x14ac:dyDescent="0.25">
      <c r="A33" s="22" t="s">
        <v>59</v>
      </c>
      <c r="B33" s="5" t="s">
        <v>60</v>
      </c>
      <c r="C33" s="31">
        <v>1601</v>
      </c>
      <c r="D33" s="32">
        <f t="shared" si="0"/>
        <v>3.202</v>
      </c>
      <c r="F33" s="22" t="s">
        <v>663</v>
      </c>
      <c r="G33" s="5" t="s">
        <v>286</v>
      </c>
      <c r="H33" s="31">
        <v>3373</v>
      </c>
      <c r="I33" s="32">
        <f t="shared" si="1"/>
        <v>6.7460000000000004</v>
      </c>
      <c r="K33" s="22" t="s">
        <v>484</v>
      </c>
      <c r="L33" s="5" t="s">
        <v>485</v>
      </c>
      <c r="M33" s="31">
        <v>11304</v>
      </c>
      <c r="N33" s="32">
        <f t="shared" si="2"/>
        <v>22.608000000000001</v>
      </c>
      <c r="P33" s="22" t="s">
        <v>615</v>
      </c>
      <c r="Q33" s="5" t="s">
        <v>616</v>
      </c>
      <c r="R33" s="31">
        <v>4037</v>
      </c>
      <c r="S33" s="32">
        <f t="shared" si="3"/>
        <v>8.0739999999999998</v>
      </c>
    </row>
    <row r="34" spans="1:19" ht="15.75" thickBot="1" x14ac:dyDescent="0.3">
      <c r="A34" s="22" t="s">
        <v>61</v>
      </c>
      <c r="B34" s="5" t="s">
        <v>62</v>
      </c>
      <c r="C34" s="31">
        <v>636</v>
      </c>
      <c r="D34" s="32">
        <f t="shared" si="0"/>
        <v>1.272</v>
      </c>
      <c r="F34" s="22" t="s">
        <v>664</v>
      </c>
      <c r="G34" s="5" t="s">
        <v>288</v>
      </c>
      <c r="H34" s="31">
        <v>4507</v>
      </c>
      <c r="I34" s="32">
        <f t="shared" si="1"/>
        <v>9.0139999999999993</v>
      </c>
      <c r="K34" s="22" t="s">
        <v>486</v>
      </c>
      <c r="L34" s="5" t="s">
        <v>487</v>
      </c>
      <c r="M34" s="31">
        <v>30472</v>
      </c>
      <c r="N34" s="32">
        <f t="shared" si="2"/>
        <v>60.944000000000003</v>
      </c>
      <c r="P34" s="23" t="s">
        <v>617</v>
      </c>
      <c r="Q34" s="24" t="s">
        <v>618</v>
      </c>
      <c r="R34" s="33">
        <v>10337</v>
      </c>
      <c r="S34" s="34">
        <f t="shared" si="3"/>
        <v>20.673999999999999</v>
      </c>
    </row>
    <row r="35" spans="1:19" x14ac:dyDescent="0.25">
      <c r="A35" s="22" t="s">
        <v>63</v>
      </c>
      <c r="B35" s="5" t="s">
        <v>64</v>
      </c>
      <c r="C35" s="31">
        <v>6622</v>
      </c>
      <c r="D35" s="32">
        <f t="shared" si="0"/>
        <v>13.244</v>
      </c>
      <c r="F35" s="22" t="s">
        <v>665</v>
      </c>
      <c r="G35" s="5" t="s">
        <v>290</v>
      </c>
      <c r="H35" s="31">
        <v>8511</v>
      </c>
      <c r="I35" s="32">
        <f t="shared" si="1"/>
        <v>17.021999999999998</v>
      </c>
      <c r="K35" s="22" t="s">
        <v>488</v>
      </c>
      <c r="L35" s="5" t="s">
        <v>489</v>
      </c>
      <c r="M35" s="31">
        <v>5000</v>
      </c>
      <c r="N35" s="32">
        <f t="shared" si="2"/>
        <v>10</v>
      </c>
    </row>
    <row r="36" spans="1:19" x14ac:dyDescent="0.25">
      <c r="A36" s="22" t="s">
        <v>65</v>
      </c>
      <c r="B36" s="5" t="s">
        <v>66</v>
      </c>
      <c r="C36" s="31">
        <v>228</v>
      </c>
      <c r="D36" s="32">
        <f t="shared" si="0"/>
        <v>0.45600000000000002</v>
      </c>
      <c r="F36" s="22" t="s">
        <v>666</v>
      </c>
      <c r="G36" s="5" t="s">
        <v>292</v>
      </c>
      <c r="H36" s="31">
        <v>3034</v>
      </c>
      <c r="I36" s="32">
        <f t="shared" si="1"/>
        <v>6.0679999999999996</v>
      </c>
      <c r="K36" s="22" t="s">
        <v>490</v>
      </c>
      <c r="L36" s="5" t="s">
        <v>491</v>
      </c>
      <c r="M36" s="31">
        <v>21844</v>
      </c>
      <c r="N36" s="32">
        <f t="shared" si="2"/>
        <v>43.688000000000002</v>
      </c>
    </row>
    <row r="37" spans="1:19" x14ac:dyDescent="0.25">
      <c r="A37" s="22" t="s">
        <v>67</v>
      </c>
      <c r="B37" s="5" t="s">
        <v>68</v>
      </c>
      <c r="C37" s="31">
        <v>4010</v>
      </c>
      <c r="D37" s="32">
        <f t="shared" si="0"/>
        <v>8.02</v>
      </c>
      <c r="F37" s="22" t="s">
        <v>667</v>
      </c>
      <c r="G37" s="5" t="s">
        <v>294</v>
      </c>
      <c r="H37" s="31">
        <v>3410</v>
      </c>
      <c r="I37" s="32">
        <f t="shared" si="1"/>
        <v>6.82</v>
      </c>
      <c r="K37" s="22" t="s">
        <v>492</v>
      </c>
      <c r="L37" s="5" t="s">
        <v>493</v>
      </c>
      <c r="M37" s="31">
        <v>5959</v>
      </c>
      <c r="N37" s="32">
        <f t="shared" si="2"/>
        <v>11.917999999999999</v>
      </c>
    </row>
    <row r="38" spans="1:19" x14ac:dyDescent="0.25">
      <c r="A38" s="22" t="s">
        <v>69</v>
      </c>
      <c r="B38" s="5" t="s">
        <v>70</v>
      </c>
      <c r="C38" s="31">
        <v>235</v>
      </c>
      <c r="D38" s="32">
        <f t="shared" si="0"/>
        <v>0.47</v>
      </c>
      <c r="F38" s="22" t="s">
        <v>668</v>
      </c>
      <c r="G38" s="5" t="s">
        <v>296</v>
      </c>
      <c r="H38" s="31">
        <v>2145</v>
      </c>
      <c r="I38" s="32">
        <f t="shared" si="1"/>
        <v>4.29</v>
      </c>
      <c r="K38" s="22" t="s">
        <v>494</v>
      </c>
      <c r="L38" s="5" t="s">
        <v>495</v>
      </c>
      <c r="M38" s="31">
        <v>11945</v>
      </c>
      <c r="N38" s="32">
        <f t="shared" si="2"/>
        <v>23.89</v>
      </c>
    </row>
    <row r="39" spans="1:19" x14ac:dyDescent="0.25">
      <c r="A39" s="22" t="s">
        <v>33</v>
      </c>
      <c r="B39" s="5" t="s">
        <v>71</v>
      </c>
      <c r="C39" s="31">
        <v>1549</v>
      </c>
      <c r="D39" s="32">
        <f t="shared" si="0"/>
        <v>3.0979999999999999</v>
      </c>
      <c r="F39" s="22" t="s">
        <v>669</v>
      </c>
      <c r="G39" s="5" t="s">
        <v>298</v>
      </c>
      <c r="H39" s="31">
        <v>3154</v>
      </c>
      <c r="I39" s="32">
        <f t="shared" si="1"/>
        <v>6.3079999999999998</v>
      </c>
      <c r="K39" s="22" t="s">
        <v>757</v>
      </c>
      <c r="L39" s="5" t="s">
        <v>497</v>
      </c>
      <c r="M39" s="31">
        <v>13226</v>
      </c>
      <c r="N39" s="32">
        <f t="shared" si="2"/>
        <v>26.452000000000002</v>
      </c>
    </row>
    <row r="40" spans="1:19" x14ac:dyDescent="0.25">
      <c r="A40" s="22" t="s">
        <v>33</v>
      </c>
      <c r="B40" s="5" t="s">
        <v>72</v>
      </c>
      <c r="C40" s="31">
        <v>1954</v>
      </c>
      <c r="D40" s="32">
        <f t="shared" si="0"/>
        <v>3.9079999999999999</v>
      </c>
      <c r="F40" s="22" t="s">
        <v>299</v>
      </c>
      <c r="G40" s="5" t="s">
        <v>300</v>
      </c>
      <c r="H40" s="31">
        <v>2296</v>
      </c>
      <c r="I40" s="32">
        <f t="shared" si="1"/>
        <v>4.5919999999999996</v>
      </c>
      <c r="K40" s="22" t="s">
        <v>498</v>
      </c>
      <c r="L40" s="5" t="s">
        <v>499</v>
      </c>
      <c r="M40" s="31">
        <v>7998</v>
      </c>
      <c r="N40" s="32">
        <f t="shared" si="2"/>
        <v>15.996</v>
      </c>
    </row>
    <row r="41" spans="1:19" x14ac:dyDescent="0.25">
      <c r="A41" s="22" t="s">
        <v>73</v>
      </c>
      <c r="B41" s="5" t="s">
        <v>74</v>
      </c>
      <c r="C41" s="31">
        <v>0</v>
      </c>
      <c r="D41" s="32">
        <f t="shared" si="0"/>
        <v>0</v>
      </c>
      <c r="F41" s="22" t="s">
        <v>670</v>
      </c>
      <c r="G41" s="5" t="s">
        <v>302</v>
      </c>
      <c r="H41" s="31">
        <v>99</v>
      </c>
      <c r="I41" s="32">
        <f t="shared" si="1"/>
        <v>0.19800000000000001</v>
      </c>
      <c r="K41" s="22" t="s">
        <v>500</v>
      </c>
      <c r="L41" s="5" t="s">
        <v>501</v>
      </c>
      <c r="M41" s="31">
        <v>17869</v>
      </c>
      <c r="N41" s="32">
        <f t="shared" si="2"/>
        <v>35.738</v>
      </c>
    </row>
    <row r="42" spans="1:19" x14ac:dyDescent="0.25">
      <c r="A42" s="22" t="s">
        <v>75</v>
      </c>
      <c r="B42" s="5" t="s">
        <v>76</v>
      </c>
      <c r="C42" s="31">
        <v>1370</v>
      </c>
      <c r="D42" s="32">
        <f t="shared" si="0"/>
        <v>2.74</v>
      </c>
      <c r="F42" s="22" t="s">
        <v>303</v>
      </c>
      <c r="G42" s="5" t="s">
        <v>304</v>
      </c>
      <c r="H42" s="31">
        <v>164</v>
      </c>
      <c r="I42" s="32">
        <f t="shared" si="1"/>
        <v>0.32800000000000001</v>
      </c>
      <c r="K42" s="22" t="s">
        <v>502</v>
      </c>
      <c r="L42" s="5" t="s">
        <v>503</v>
      </c>
      <c r="M42" s="31">
        <v>14360</v>
      </c>
      <c r="N42" s="32">
        <f t="shared" si="2"/>
        <v>28.72</v>
      </c>
    </row>
    <row r="43" spans="1:19" x14ac:dyDescent="0.25">
      <c r="A43" s="22" t="s">
        <v>77</v>
      </c>
      <c r="B43" s="5" t="s">
        <v>78</v>
      </c>
      <c r="C43" s="31">
        <v>4453</v>
      </c>
      <c r="D43" s="32">
        <f t="shared" si="0"/>
        <v>8.9060000000000006</v>
      </c>
      <c r="F43" s="22" t="s">
        <v>305</v>
      </c>
      <c r="G43" s="5" t="s">
        <v>306</v>
      </c>
      <c r="H43" s="31">
        <v>184</v>
      </c>
      <c r="I43" s="32">
        <f t="shared" si="1"/>
        <v>0.36799999999999999</v>
      </c>
      <c r="K43" s="22" t="s">
        <v>504</v>
      </c>
      <c r="L43" s="5" t="s">
        <v>505</v>
      </c>
      <c r="M43" s="31">
        <v>12371</v>
      </c>
      <c r="N43" s="32">
        <f t="shared" si="2"/>
        <v>24.742000000000001</v>
      </c>
    </row>
    <row r="44" spans="1:19" x14ac:dyDescent="0.25">
      <c r="A44" s="22" t="s">
        <v>79</v>
      </c>
      <c r="B44" s="5" t="s">
        <v>80</v>
      </c>
      <c r="C44" s="31">
        <v>1538</v>
      </c>
      <c r="D44" s="32">
        <f t="shared" si="0"/>
        <v>3.0760000000000001</v>
      </c>
      <c r="F44" s="22" t="s">
        <v>671</v>
      </c>
      <c r="G44" s="5" t="s">
        <v>308</v>
      </c>
      <c r="H44" s="31">
        <v>8230</v>
      </c>
      <c r="I44" s="32">
        <f t="shared" si="1"/>
        <v>16.46</v>
      </c>
      <c r="K44" s="22" t="s">
        <v>506</v>
      </c>
      <c r="L44" s="5" t="s">
        <v>507</v>
      </c>
      <c r="M44" s="31">
        <v>14189</v>
      </c>
      <c r="N44" s="32">
        <f t="shared" si="2"/>
        <v>28.378</v>
      </c>
    </row>
    <row r="45" spans="1:19" x14ac:dyDescent="0.25">
      <c r="A45" s="22" t="s">
        <v>69</v>
      </c>
      <c r="B45" s="5" t="s">
        <v>81</v>
      </c>
      <c r="C45" s="31">
        <v>2806</v>
      </c>
      <c r="D45" s="32">
        <f t="shared" si="0"/>
        <v>5.6120000000000001</v>
      </c>
      <c r="F45" s="22" t="s">
        <v>672</v>
      </c>
      <c r="G45" s="5" t="s">
        <v>310</v>
      </c>
      <c r="H45" s="31">
        <v>957</v>
      </c>
      <c r="I45" s="32">
        <f t="shared" si="1"/>
        <v>1.9139999999999999</v>
      </c>
      <c r="K45" s="22" t="s">
        <v>508</v>
      </c>
      <c r="L45" s="5" t="s">
        <v>509</v>
      </c>
      <c r="M45" s="31">
        <v>18679</v>
      </c>
      <c r="N45" s="32">
        <f t="shared" si="2"/>
        <v>37.357999999999997</v>
      </c>
    </row>
    <row r="46" spans="1:19" x14ac:dyDescent="0.25">
      <c r="A46" s="22" t="s">
        <v>69</v>
      </c>
      <c r="B46" s="5" t="s">
        <v>82</v>
      </c>
      <c r="C46" s="31">
        <v>2895</v>
      </c>
      <c r="D46" s="32">
        <f t="shared" si="0"/>
        <v>5.79</v>
      </c>
      <c r="F46" s="22" t="s">
        <v>673</v>
      </c>
      <c r="G46" s="5" t="s">
        <v>312</v>
      </c>
      <c r="H46" s="31">
        <v>3201</v>
      </c>
      <c r="I46" s="32">
        <f t="shared" si="1"/>
        <v>6.4020000000000001</v>
      </c>
      <c r="K46" s="22" t="s">
        <v>510</v>
      </c>
      <c r="L46" s="5" t="s">
        <v>511</v>
      </c>
      <c r="M46" s="31">
        <v>5123</v>
      </c>
      <c r="N46" s="32">
        <f t="shared" si="2"/>
        <v>10.246</v>
      </c>
    </row>
    <row r="47" spans="1:19" x14ac:dyDescent="0.25">
      <c r="A47" s="22" t="s">
        <v>83</v>
      </c>
      <c r="B47" s="5" t="s">
        <v>84</v>
      </c>
      <c r="C47" s="31">
        <v>1419</v>
      </c>
      <c r="D47" s="32">
        <f t="shared" si="0"/>
        <v>2.8380000000000001</v>
      </c>
      <c r="F47" s="22" t="s">
        <v>674</v>
      </c>
      <c r="G47" s="5" t="s">
        <v>314</v>
      </c>
      <c r="H47" s="31">
        <v>4511</v>
      </c>
      <c r="I47" s="32">
        <f t="shared" si="1"/>
        <v>9.0220000000000002</v>
      </c>
      <c r="K47" s="22" t="s">
        <v>512</v>
      </c>
      <c r="L47" s="5" t="s">
        <v>513</v>
      </c>
      <c r="M47" s="31">
        <v>12486</v>
      </c>
      <c r="N47" s="32">
        <f t="shared" si="2"/>
        <v>24.972000000000001</v>
      </c>
    </row>
    <row r="48" spans="1:19" x14ac:dyDescent="0.25">
      <c r="A48" s="22" t="s">
        <v>85</v>
      </c>
      <c r="B48" s="5" t="s">
        <v>86</v>
      </c>
      <c r="C48" s="31">
        <v>1241</v>
      </c>
      <c r="D48" s="32">
        <f t="shared" si="0"/>
        <v>2.4820000000000002</v>
      </c>
      <c r="F48" s="22" t="s">
        <v>675</v>
      </c>
      <c r="G48" s="5" t="s">
        <v>316</v>
      </c>
      <c r="H48" s="31">
        <v>1286</v>
      </c>
      <c r="I48" s="32">
        <f t="shared" si="1"/>
        <v>2.5720000000000001</v>
      </c>
      <c r="K48" s="22" t="s">
        <v>514</v>
      </c>
      <c r="L48" s="5" t="s">
        <v>515</v>
      </c>
      <c r="M48" s="31">
        <v>5986</v>
      </c>
      <c r="N48" s="32">
        <f t="shared" si="2"/>
        <v>11.972</v>
      </c>
    </row>
    <row r="49" spans="1:14" x14ac:dyDescent="0.25">
      <c r="A49" s="22" t="s">
        <v>89</v>
      </c>
      <c r="B49" s="5" t="s">
        <v>90</v>
      </c>
      <c r="C49" s="31">
        <v>0</v>
      </c>
      <c r="D49" s="32">
        <f t="shared" si="0"/>
        <v>0</v>
      </c>
      <c r="F49" s="22" t="s">
        <v>676</v>
      </c>
      <c r="G49" s="5" t="s">
        <v>318</v>
      </c>
      <c r="H49" s="31">
        <v>4803</v>
      </c>
      <c r="I49" s="32">
        <f t="shared" si="1"/>
        <v>9.6059999999999999</v>
      </c>
      <c r="K49" s="22" t="s">
        <v>516</v>
      </c>
      <c r="L49" s="5" t="s">
        <v>517</v>
      </c>
      <c r="M49" s="31">
        <v>6467</v>
      </c>
      <c r="N49" s="32">
        <f t="shared" si="2"/>
        <v>12.933999999999999</v>
      </c>
    </row>
    <row r="50" spans="1:14" x14ac:dyDescent="0.25">
      <c r="A50" s="22" t="s">
        <v>91</v>
      </c>
      <c r="B50" s="5" t="s">
        <v>92</v>
      </c>
      <c r="C50" s="31">
        <v>0</v>
      </c>
      <c r="D50" s="32">
        <f t="shared" si="0"/>
        <v>0</v>
      </c>
      <c r="F50" s="22" t="s">
        <v>677</v>
      </c>
      <c r="G50" s="5" t="s">
        <v>320</v>
      </c>
      <c r="H50" s="31">
        <v>2772</v>
      </c>
      <c r="I50" s="32">
        <f t="shared" si="1"/>
        <v>5.5439999999999996</v>
      </c>
      <c r="K50" s="22" t="s">
        <v>518</v>
      </c>
      <c r="L50" s="5" t="s">
        <v>519</v>
      </c>
      <c r="M50" s="31">
        <v>6186</v>
      </c>
      <c r="N50" s="32">
        <f t="shared" si="2"/>
        <v>12.372</v>
      </c>
    </row>
    <row r="51" spans="1:14" x14ac:dyDescent="0.25">
      <c r="A51" s="22" t="s">
        <v>93</v>
      </c>
      <c r="B51" s="5" t="s">
        <v>94</v>
      </c>
      <c r="C51" s="31">
        <v>759</v>
      </c>
      <c r="D51" s="32">
        <f t="shared" si="0"/>
        <v>1.518</v>
      </c>
      <c r="F51" s="22" t="s">
        <v>678</v>
      </c>
      <c r="G51" s="5" t="s">
        <v>322</v>
      </c>
      <c r="H51" s="31">
        <v>2058</v>
      </c>
      <c r="I51" s="32">
        <f t="shared" si="1"/>
        <v>4.1159999999999997</v>
      </c>
      <c r="K51" s="22" t="s">
        <v>520</v>
      </c>
      <c r="L51" s="5" t="s">
        <v>521</v>
      </c>
      <c r="M51" s="31">
        <v>15615</v>
      </c>
      <c r="N51" s="32">
        <f t="shared" si="2"/>
        <v>31.23</v>
      </c>
    </row>
    <row r="52" spans="1:14" x14ac:dyDescent="0.25">
      <c r="A52" s="22" t="s">
        <v>67</v>
      </c>
      <c r="B52" s="5" t="s">
        <v>95</v>
      </c>
      <c r="C52" s="31">
        <v>4657</v>
      </c>
      <c r="D52" s="32">
        <f t="shared" si="0"/>
        <v>9.3140000000000001</v>
      </c>
      <c r="F52" s="22" t="s">
        <v>679</v>
      </c>
      <c r="G52" s="5" t="s">
        <v>324</v>
      </c>
      <c r="H52" s="31">
        <v>643</v>
      </c>
      <c r="I52" s="32">
        <f t="shared" si="1"/>
        <v>1.286</v>
      </c>
      <c r="K52" s="22" t="s">
        <v>522</v>
      </c>
      <c r="L52" s="5" t="s">
        <v>523</v>
      </c>
      <c r="M52" s="31">
        <v>21577</v>
      </c>
      <c r="N52" s="32">
        <f t="shared" si="2"/>
        <v>43.154000000000003</v>
      </c>
    </row>
    <row r="53" spans="1:14" x14ac:dyDescent="0.25">
      <c r="A53" s="22" t="s">
        <v>96</v>
      </c>
      <c r="B53" s="5" t="s">
        <v>97</v>
      </c>
      <c r="C53" s="31">
        <v>4077</v>
      </c>
      <c r="D53" s="32">
        <f t="shared" si="0"/>
        <v>8.1539999999999999</v>
      </c>
      <c r="F53" s="22" t="s">
        <v>680</v>
      </c>
      <c r="G53" s="5" t="s">
        <v>146</v>
      </c>
      <c r="H53" s="31">
        <v>812</v>
      </c>
      <c r="I53" s="32">
        <f t="shared" si="1"/>
        <v>1.6240000000000001</v>
      </c>
      <c r="K53" s="22" t="s">
        <v>524</v>
      </c>
      <c r="L53" s="5" t="s">
        <v>525</v>
      </c>
      <c r="M53" s="31">
        <v>11110</v>
      </c>
      <c r="N53" s="32">
        <f t="shared" si="2"/>
        <v>22.22</v>
      </c>
    </row>
    <row r="54" spans="1:14" x14ac:dyDescent="0.25">
      <c r="A54" s="22" t="s">
        <v>98</v>
      </c>
      <c r="B54" s="5" t="s">
        <v>99</v>
      </c>
      <c r="C54" s="31">
        <v>3034</v>
      </c>
      <c r="D54" s="32">
        <f t="shared" si="0"/>
        <v>6.0679999999999996</v>
      </c>
      <c r="F54" s="22" t="s">
        <v>681</v>
      </c>
      <c r="G54" s="5" t="s">
        <v>280</v>
      </c>
      <c r="H54" s="31">
        <v>8856</v>
      </c>
      <c r="I54" s="32">
        <f t="shared" si="1"/>
        <v>17.712</v>
      </c>
      <c r="K54" s="22" t="s">
        <v>526</v>
      </c>
      <c r="L54" s="5" t="s">
        <v>527</v>
      </c>
      <c r="M54" s="31">
        <v>23636</v>
      </c>
      <c r="N54" s="32">
        <f t="shared" si="2"/>
        <v>47.271999999999998</v>
      </c>
    </row>
    <row r="55" spans="1:14" x14ac:dyDescent="0.25">
      <c r="A55" s="22" t="s">
        <v>100</v>
      </c>
      <c r="B55" s="5" t="s">
        <v>101</v>
      </c>
      <c r="C55" s="31">
        <v>1242</v>
      </c>
      <c r="D55" s="32">
        <f t="shared" si="0"/>
        <v>2.484</v>
      </c>
      <c r="F55" s="22" t="s">
        <v>682</v>
      </c>
      <c r="G55" s="5" t="s">
        <v>325</v>
      </c>
      <c r="H55" s="31">
        <v>93</v>
      </c>
      <c r="I55" s="32">
        <f t="shared" si="1"/>
        <v>0.186</v>
      </c>
      <c r="K55" s="22" t="s">
        <v>528</v>
      </c>
      <c r="L55" s="5" t="s">
        <v>529</v>
      </c>
      <c r="M55" s="31">
        <v>15197</v>
      </c>
      <c r="N55" s="32">
        <f t="shared" si="2"/>
        <v>30.393999999999998</v>
      </c>
    </row>
    <row r="56" spans="1:14" x14ac:dyDescent="0.25">
      <c r="A56" s="22" t="s">
        <v>102</v>
      </c>
      <c r="B56" s="5" t="s">
        <v>103</v>
      </c>
      <c r="C56" s="31">
        <v>191</v>
      </c>
      <c r="D56" s="32">
        <f t="shared" si="0"/>
        <v>0.38200000000000001</v>
      </c>
      <c r="F56" s="22" t="s">
        <v>683</v>
      </c>
      <c r="G56" s="5" t="s">
        <v>327</v>
      </c>
      <c r="H56" s="31">
        <v>2481</v>
      </c>
      <c r="I56" s="32">
        <f t="shared" si="1"/>
        <v>4.9619999999999997</v>
      </c>
      <c r="K56" s="22" t="s">
        <v>530</v>
      </c>
      <c r="L56" s="5" t="s">
        <v>531</v>
      </c>
      <c r="M56" s="31">
        <v>9420</v>
      </c>
      <c r="N56" s="32">
        <f t="shared" si="2"/>
        <v>18.84</v>
      </c>
    </row>
    <row r="57" spans="1:14" x14ac:dyDescent="0.25">
      <c r="A57" s="22" t="s">
        <v>104</v>
      </c>
      <c r="B57" s="5" t="s">
        <v>105</v>
      </c>
      <c r="C57" s="31">
        <v>0</v>
      </c>
      <c r="D57" s="32">
        <f t="shared" si="0"/>
        <v>0</v>
      </c>
      <c r="F57" s="22" t="s">
        <v>684</v>
      </c>
      <c r="G57" s="5" t="s">
        <v>685</v>
      </c>
      <c r="H57" s="31">
        <v>4530</v>
      </c>
      <c r="I57" s="32">
        <f t="shared" si="1"/>
        <v>9.06</v>
      </c>
      <c r="K57" s="22" t="s">
        <v>433</v>
      </c>
      <c r="L57" s="5" t="s">
        <v>532</v>
      </c>
      <c r="M57" s="31">
        <v>3320</v>
      </c>
      <c r="N57" s="32">
        <f t="shared" si="2"/>
        <v>6.64</v>
      </c>
    </row>
    <row r="58" spans="1:14" x14ac:dyDescent="0.25">
      <c r="A58" s="22" t="s">
        <v>106</v>
      </c>
      <c r="B58" s="5" t="s">
        <v>107</v>
      </c>
      <c r="C58" s="31">
        <v>381</v>
      </c>
      <c r="D58" s="32">
        <f t="shared" si="0"/>
        <v>0.76200000000000001</v>
      </c>
      <c r="F58" s="22" t="s">
        <v>684</v>
      </c>
      <c r="G58" s="5" t="s">
        <v>357</v>
      </c>
      <c r="H58" s="31">
        <v>834</v>
      </c>
      <c r="I58" s="32">
        <f t="shared" si="1"/>
        <v>1.6679999999999999</v>
      </c>
      <c r="K58" s="22" t="s">
        <v>533</v>
      </c>
      <c r="L58" s="5" t="s">
        <v>534</v>
      </c>
      <c r="M58" s="31">
        <v>5233</v>
      </c>
      <c r="N58" s="32">
        <f t="shared" si="2"/>
        <v>10.465999999999999</v>
      </c>
    </row>
    <row r="59" spans="1:14" x14ac:dyDescent="0.25">
      <c r="A59" s="22" t="s">
        <v>106</v>
      </c>
      <c r="B59" s="5" t="s">
        <v>108</v>
      </c>
      <c r="C59" s="31">
        <v>2337</v>
      </c>
      <c r="D59" s="32">
        <f t="shared" si="0"/>
        <v>4.6740000000000004</v>
      </c>
      <c r="F59" s="22" t="s">
        <v>686</v>
      </c>
      <c r="G59" s="5" t="s">
        <v>328</v>
      </c>
      <c r="H59" s="31">
        <v>264</v>
      </c>
      <c r="I59" s="32">
        <f t="shared" si="1"/>
        <v>0.52800000000000002</v>
      </c>
      <c r="K59" s="22" t="s">
        <v>535</v>
      </c>
      <c r="L59" s="5" t="s">
        <v>536</v>
      </c>
      <c r="M59" s="31">
        <v>455</v>
      </c>
      <c r="N59" s="32">
        <f t="shared" si="2"/>
        <v>0.91</v>
      </c>
    </row>
    <row r="60" spans="1:14" x14ac:dyDescent="0.25">
      <c r="A60" s="22" t="s">
        <v>109</v>
      </c>
      <c r="B60" s="5" t="s">
        <v>110</v>
      </c>
      <c r="C60" s="31">
        <v>991</v>
      </c>
      <c r="D60" s="32">
        <f t="shared" si="0"/>
        <v>1.982</v>
      </c>
      <c r="F60" s="22" t="s">
        <v>659</v>
      </c>
      <c r="G60" s="5" t="s">
        <v>687</v>
      </c>
      <c r="H60" s="31">
        <v>2609</v>
      </c>
      <c r="I60" s="32">
        <f t="shared" si="1"/>
        <v>5.218</v>
      </c>
      <c r="K60" s="22" t="s">
        <v>537</v>
      </c>
      <c r="L60" s="5" t="s">
        <v>538</v>
      </c>
      <c r="M60" s="31">
        <v>3</v>
      </c>
      <c r="N60" s="32">
        <f t="shared" si="2"/>
        <v>6.0000000000000001E-3</v>
      </c>
    </row>
    <row r="61" spans="1:14" x14ac:dyDescent="0.25">
      <c r="A61" s="22" t="s">
        <v>111</v>
      </c>
      <c r="B61" s="5" t="s">
        <v>112</v>
      </c>
      <c r="C61" s="31">
        <v>799</v>
      </c>
      <c r="D61" s="32">
        <f t="shared" si="0"/>
        <v>1.5980000000000001</v>
      </c>
      <c r="F61" s="22" t="s">
        <v>656</v>
      </c>
      <c r="G61" s="5" t="s">
        <v>688</v>
      </c>
      <c r="H61" s="31">
        <v>2979</v>
      </c>
      <c r="I61" s="32">
        <f t="shared" si="1"/>
        <v>5.9580000000000002</v>
      </c>
      <c r="K61" s="22" t="s">
        <v>539</v>
      </c>
      <c r="L61" s="5" t="s">
        <v>540</v>
      </c>
      <c r="M61" s="31">
        <v>1081</v>
      </c>
      <c r="N61" s="32">
        <f t="shared" si="2"/>
        <v>2.1619999999999999</v>
      </c>
    </row>
    <row r="62" spans="1:14" x14ac:dyDescent="0.25">
      <c r="A62" s="22" t="s">
        <v>113</v>
      </c>
      <c r="B62" s="5" t="s">
        <v>114</v>
      </c>
      <c r="C62" s="31">
        <v>521</v>
      </c>
      <c r="D62" s="32">
        <f t="shared" si="0"/>
        <v>1.042</v>
      </c>
      <c r="F62" s="22" t="s">
        <v>689</v>
      </c>
      <c r="G62" s="5" t="s">
        <v>330</v>
      </c>
      <c r="H62" s="31">
        <v>2101</v>
      </c>
      <c r="I62" s="32">
        <f t="shared" si="1"/>
        <v>4.202</v>
      </c>
      <c r="K62" s="22" t="s">
        <v>541</v>
      </c>
      <c r="L62" s="5" t="s">
        <v>542</v>
      </c>
      <c r="M62" s="31">
        <v>68</v>
      </c>
      <c r="N62" s="32">
        <f t="shared" si="2"/>
        <v>0.13600000000000001</v>
      </c>
    </row>
    <row r="63" spans="1:14" x14ac:dyDescent="0.25">
      <c r="A63" s="22" t="s">
        <v>115</v>
      </c>
      <c r="B63" s="5" t="s">
        <v>116</v>
      </c>
      <c r="C63" s="31">
        <v>1003</v>
      </c>
      <c r="D63" s="32">
        <f t="shared" si="0"/>
        <v>2.0059999999999998</v>
      </c>
      <c r="F63" s="22" t="s">
        <v>652</v>
      </c>
      <c r="G63" s="5" t="s">
        <v>331</v>
      </c>
      <c r="H63" s="31">
        <v>5320</v>
      </c>
      <c r="I63" s="32">
        <f t="shared" si="1"/>
        <v>10.64</v>
      </c>
      <c r="K63" s="22" t="s">
        <v>447</v>
      </c>
      <c r="L63" s="5" t="s">
        <v>543</v>
      </c>
      <c r="M63" s="31">
        <v>93</v>
      </c>
      <c r="N63" s="32">
        <f t="shared" si="2"/>
        <v>0.186</v>
      </c>
    </row>
    <row r="64" spans="1:14" x14ac:dyDescent="0.25">
      <c r="A64" s="22" t="s">
        <v>117</v>
      </c>
      <c r="B64" s="5" t="s">
        <v>118</v>
      </c>
      <c r="C64" s="31">
        <v>2483</v>
      </c>
      <c r="D64" s="32">
        <f t="shared" si="0"/>
        <v>4.9660000000000002</v>
      </c>
      <c r="F64" s="22" t="s">
        <v>667</v>
      </c>
      <c r="G64" s="5" t="s">
        <v>333</v>
      </c>
      <c r="H64" s="31">
        <v>4475</v>
      </c>
      <c r="I64" s="32">
        <f t="shared" si="1"/>
        <v>8.9499999999999993</v>
      </c>
      <c r="K64" s="22" t="s">
        <v>429</v>
      </c>
      <c r="L64" s="5" t="s">
        <v>544</v>
      </c>
      <c r="M64" s="31">
        <v>36</v>
      </c>
      <c r="N64" s="32">
        <f t="shared" si="2"/>
        <v>7.1999999999999995E-2</v>
      </c>
    </row>
    <row r="65" spans="1:14" x14ac:dyDescent="0.25">
      <c r="A65" s="22" t="s">
        <v>119</v>
      </c>
      <c r="B65" s="5" t="s">
        <v>120</v>
      </c>
      <c r="C65" s="31">
        <v>549</v>
      </c>
      <c r="D65" s="32">
        <f t="shared" si="0"/>
        <v>1.0980000000000001</v>
      </c>
      <c r="F65" s="22" t="s">
        <v>690</v>
      </c>
      <c r="G65" s="5" t="s">
        <v>335</v>
      </c>
      <c r="H65" s="31">
        <v>4831</v>
      </c>
      <c r="I65" s="32">
        <f t="shared" si="1"/>
        <v>9.6620000000000008</v>
      </c>
      <c r="K65" s="22" t="s">
        <v>431</v>
      </c>
      <c r="L65" s="5" t="s">
        <v>545</v>
      </c>
      <c r="M65" s="31">
        <v>999</v>
      </c>
      <c r="N65" s="32">
        <f t="shared" si="2"/>
        <v>1.998</v>
      </c>
    </row>
    <row r="66" spans="1:14" x14ac:dyDescent="0.25">
      <c r="A66" s="22" t="s">
        <v>121</v>
      </c>
      <c r="B66" s="5" t="s">
        <v>122</v>
      </c>
      <c r="C66" s="31">
        <v>1290</v>
      </c>
      <c r="D66" s="32">
        <f t="shared" si="0"/>
        <v>2.58</v>
      </c>
      <c r="F66" s="22" t="s">
        <v>666</v>
      </c>
      <c r="G66" s="5" t="s">
        <v>336</v>
      </c>
      <c r="H66" s="31">
        <v>1411</v>
      </c>
      <c r="I66" s="32">
        <f t="shared" si="1"/>
        <v>2.8220000000000001</v>
      </c>
      <c r="K66" s="22" t="s">
        <v>546</v>
      </c>
      <c r="L66" s="5" t="s">
        <v>547</v>
      </c>
      <c r="M66" s="31">
        <v>5948</v>
      </c>
      <c r="N66" s="32">
        <f t="shared" si="2"/>
        <v>11.896000000000001</v>
      </c>
    </row>
    <row r="67" spans="1:14" x14ac:dyDescent="0.25">
      <c r="A67" s="22" t="s">
        <v>123</v>
      </c>
      <c r="B67" s="5" t="s">
        <v>124</v>
      </c>
      <c r="C67" s="31">
        <v>4081</v>
      </c>
      <c r="D67" s="32">
        <f t="shared" si="0"/>
        <v>8.1620000000000008</v>
      </c>
      <c r="F67" s="22" t="s">
        <v>691</v>
      </c>
      <c r="G67" s="5" t="s">
        <v>338</v>
      </c>
      <c r="H67" s="31">
        <v>8928</v>
      </c>
      <c r="I67" s="32">
        <f t="shared" ref="I67:I126" si="4">H67/500</f>
        <v>17.856000000000002</v>
      </c>
      <c r="K67" s="22" t="s">
        <v>548</v>
      </c>
      <c r="L67" s="5" t="s">
        <v>549</v>
      </c>
      <c r="M67" s="31">
        <v>10746</v>
      </c>
      <c r="N67" s="32">
        <f t="shared" si="2"/>
        <v>21.492000000000001</v>
      </c>
    </row>
    <row r="68" spans="1:14" x14ac:dyDescent="0.25">
      <c r="A68" s="22" t="s">
        <v>125</v>
      </c>
      <c r="B68" s="5" t="s">
        <v>126</v>
      </c>
      <c r="C68" s="31">
        <v>3758</v>
      </c>
      <c r="D68" s="32">
        <f t="shared" ref="D68:D128" si="5">C68/500</f>
        <v>7.516</v>
      </c>
      <c r="F68" s="22" t="s">
        <v>277</v>
      </c>
      <c r="G68" s="5" t="s">
        <v>692</v>
      </c>
      <c r="H68" s="31">
        <v>5261</v>
      </c>
      <c r="I68" s="32">
        <f t="shared" si="4"/>
        <v>10.522</v>
      </c>
      <c r="K68" s="22" t="s">
        <v>550</v>
      </c>
      <c r="L68" s="5" t="s">
        <v>551</v>
      </c>
      <c r="M68" s="31">
        <v>0</v>
      </c>
      <c r="N68" s="32">
        <f t="shared" ref="N68:N69" si="6">M68/500</f>
        <v>0</v>
      </c>
    </row>
    <row r="69" spans="1:14" ht="15.75" thickBot="1" x14ac:dyDescent="0.3">
      <c r="A69" s="22" t="s">
        <v>127</v>
      </c>
      <c r="B69" s="5" t="s">
        <v>128</v>
      </c>
      <c r="C69" s="31">
        <v>84</v>
      </c>
      <c r="D69" s="32">
        <f t="shared" si="5"/>
        <v>0.16800000000000001</v>
      </c>
      <c r="F69" s="22" t="s">
        <v>693</v>
      </c>
      <c r="G69" s="5" t="s">
        <v>340</v>
      </c>
      <c r="H69" s="31">
        <v>4948</v>
      </c>
      <c r="I69" s="32">
        <f t="shared" si="4"/>
        <v>9.8960000000000008</v>
      </c>
      <c r="K69" s="23" t="s">
        <v>552</v>
      </c>
      <c r="L69" s="24" t="s">
        <v>553</v>
      </c>
      <c r="M69" s="33">
        <v>1923</v>
      </c>
      <c r="N69" s="34">
        <f t="shared" si="6"/>
        <v>3.8460000000000001</v>
      </c>
    </row>
    <row r="70" spans="1:14" x14ac:dyDescent="0.25">
      <c r="A70" s="22" t="s">
        <v>129</v>
      </c>
      <c r="B70" s="5" t="s">
        <v>130</v>
      </c>
      <c r="C70" s="31">
        <v>889</v>
      </c>
      <c r="D70" s="32">
        <f t="shared" si="5"/>
        <v>1.778</v>
      </c>
      <c r="F70" s="22" t="s">
        <v>694</v>
      </c>
      <c r="G70" s="5" t="s">
        <v>341</v>
      </c>
      <c r="H70" s="31">
        <v>1397</v>
      </c>
      <c r="I70" s="32">
        <f t="shared" si="4"/>
        <v>2.794</v>
      </c>
    </row>
    <row r="71" spans="1:14" x14ac:dyDescent="0.25">
      <c r="A71" s="22" t="s">
        <v>131</v>
      </c>
      <c r="B71" s="5" t="s">
        <v>132</v>
      </c>
      <c r="C71" s="31">
        <v>469</v>
      </c>
      <c r="D71" s="32">
        <f t="shared" si="5"/>
        <v>0.93799999999999994</v>
      </c>
      <c r="F71" s="22" t="s">
        <v>695</v>
      </c>
      <c r="G71" s="5" t="s">
        <v>343</v>
      </c>
      <c r="H71" s="31">
        <v>3028</v>
      </c>
      <c r="I71" s="32">
        <f t="shared" si="4"/>
        <v>6.056</v>
      </c>
    </row>
    <row r="72" spans="1:14" x14ac:dyDescent="0.25">
      <c r="A72" s="22" t="s">
        <v>133</v>
      </c>
      <c r="B72" s="5" t="s">
        <v>134</v>
      </c>
      <c r="C72" s="31">
        <v>15913</v>
      </c>
      <c r="D72" s="32">
        <f t="shared" si="5"/>
        <v>31.826000000000001</v>
      </c>
      <c r="F72" s="22" t="s">
        <v>696</v>
      </c>
      <c r="G72" s="5" t="s">
        <v>345</v>
      </c>
      <c r="H72" s="31">
        <v>6523</v>
      </c>
      <c r="I72" s="32">
        <f t="shared" si="4"/>
        <v>13.045999999999999</v>
      </c>
    </row>
    <row r="73" spans="1:14" x14ac:dyDescent="0.25">
      <c r="A73" s="22" t="s">
        <v>135</v>
      </c>
      <c r="B73" s="5" t="s">
        <v>136</v>
      </c>
      <c r="C73" s="31">
        <v>1814</v>
      </c>
      <c r="D73" s="32">
        <f t="shared" si="5"/>
        <v>3.6280000000000001</v>
      </c>
      <c r="F73" s="22" t="s">
        <v>697</v>
      </c>
      <c r="G73" s="5" t="s">
        <v>347</v>
      </c>
      <c r="H73" s="31">
        <v>3451</v>
      </c>
      <c r="I73" s="32">
        <f t="shared" si="4"/>
        <v>6.9020000000000001</v>
      </c>
    </row>
    <row r="74" spans="1:14" x14ac:dyDescent="0.25">
      <c r="A74" s="22" t="s">
        <v>135</v>
      </c>
      <c r="B74" s="5" t="s">
        <v>137</v>
      </c>
      <c r="C74" s="31">
        <v>940</v>
      </c>
      <c r="D74" s="32">
        <f t="shared" si="5"/>
        <v>1.88</v>
      </c>
      <c r="F74" s="22" t="s">
        <v>698</v>
      </c>
      <c r="G74" s="5" t="s">
        <v>350</v>
      </c>
      <c r="H74" s="31">
        <v>3035</v>
      </c>
      <c r="I74" s="32">
        <f t="shared" si="4"/>
        <v>6.07</v>
      </c>
    </row>
    <row r="75" spans="1:14" x14ac:dyDescent="0.25">
      <c r="A75" s="22" t="s">
        <v>135</v>
      </c>
      <c r="B75" s="5" t="s">
        <v>138</v>
      </c>
      <c r="C75" s="31">
        <v>627</v>
      </c>
      <c r="D75" s="32">
        <f t="shared" si="5"/>
        <v>1.254</v>
      </c>
      <c r="F75" s="22" t="s">
        <v>699</v>
      </c>
      <c r="G75" s="5" t="s">
        <v>352</v>
      </c>
      <c r="H75" s="31">
        <v>3843</v>
      </c>
      <c r="I75" s="32">
        <f t="shared" si="4"/>
        <v>7.6859999999999999</v>
      </c>
    </row>
    <row r="76" spans="1:14" x14ac:dyDescent="0.25">
      <c r="A76" s="22" t="s">
        <v>139</v>
      </c>
      <c r="B76" s="5" t="s">
        <v>140</v>
      </c>
      <c r="C76" s="31">
        <v>2910</v>
      </c>
      <c r="D76" s="32">
        <f t="shared" si="5"/>
        <v>5.82</v>
      </c>
      <c r="F76" s="22" t="s">
        <v>700</v>
      </c>
      <c r="G76" s="5" t="s">
        <v>353</v>
      </c>
      <c r="H76" s="31">
        <v>2599</v>
      </c>
      <c r="I76" s="32">
        <f t="shared" si="4"/>
        <v>5.1980000000000004</v>
      </c>
    </row>
    <row r="77" spans="1:14" x14ac:dyDescent="0.25">
      <c r="A77" s="22" t="s">
        <v>141</v>
      </c>
      <c r="B77" s="5" t="s">
        <v>142</v>
      </c>
      <c r="C77" s="31">
        <v>1420</v>
      </c>
      <c r="D77" s="32">
        <f t="shared" si="5"/>
        <v>2.84</v>
      </c>
      <c r="F77" s="22" t="s">
        <v>704</v>
      </c>
      <c r="G77" s="5" t="s">
        <v>706</v>
      </c>
      <c r="H77" s="31">
        <v>3016</v>
      </c>
      <c r="I77" s="32">
        <f t="shared" si="4"/>
        <v>6.032</v>
      </c>
    </row>
    <row r="78" spans="1:14" x14ac:dyDescent="0.25">
      <c r="A78" s="22" t="s">
        <v>145</v>
      </c>
      <c r="B78" s="5" t="s">
        <v>625</v>
      </c>
      <c r="C78" s="31">
        <v>75</v>
      </c>
      <c r="D78" s="32">
        <f t="shared" si="5"/>
        <v>0.15</v>
      </c>
      <c r="F78" s="22" t="s">
        <v>707</v>
      </c>
      <c r="G78" s="5" t="s">
        <v>358</v>
      </c>
      <c r="H78" s="31">
        <v>2712</v>
      </c>
      <c r="I78" s="32">
        <f t="shared" si="4"/>
        <v>5.4240000000000004</v>
      </c>
    </row>
    <row r="79" spans="1:14" x14ac:dyDescent="0.25">
      <c r="A79" s="22" t="s">
        <v>626</v>
      </c>
      <c r="B79" s="5" t="s">
        <v>627</v>
      </c>
      <c r="C79" s="31">
        <v>2158</v>
      </c>
      <c r="D79" s="32">
        <f t="shared" si="5"/>
        <v>4.3159999999999998</v>
      </c>
      <c r="F79" s="22" t="s">
        <v>708</v>
      </c>
      <c r="G79" s="5" t="s">
        <v>360</v>
      </c>
      <c r="H79" s="31">
        <v>1544</v>
      </c>
      <c r="I79" s="32">
        <f t="shared" si="4"/>
        <v>3.0880000000000001</v>
      </c>
    </row>
    <row r="80" spans="1:14" x14ac:dyDescent="0.25">
      <c r="A80" s="22" t="s">
        <v>628</v>
      </c>
      <c r="B80" s="5" t="s">
        <v>88</v>
      </c>
      <c r="C80" s="31">
        <v>4078</v>
      </c>
      <c r="D80" s="32">
        <f t="shared" si="5"/>
        <v>8.1560000000000006</v>
      </c>
      <c r="F80" s="22" t="s">
        <v>709</v>
      </c>
      <c r="G80" s="5" t="s">
        <v>362</v>
      </c>
      <c r="H80" s="31">
        <v>8913</v>
      </c>
      <c r="I80" s="32">
        <f t="shared" si="4"/>
        <v>17.826000000000001</v>
      </c>
    </row>
    <row r="81" spans="1:9" x14ac:dyDescent="0.25">
      <c r="A81" s="22" t="s">
        <v>33</v>
      </c>
      <c r="B81" s="5" t="s">
        <v>147</v>
      </c>
      <c r="C81" s="31">
        <v>3846</v>
      </c>
      <c r="D81" s="32">
        <f t="shared" si="5"/>
        <v>7.6920000000000002</v>
      </c>
      <c r="F81" s="22" t="s">
        <v>710</v>
      </c>
      <c r="G81" s="5" t="s">
        <v>364</v>
      </c>
      <c r="H81" s="31">
        <v>1426</v>
      </c>
      <c r="I81" s="32">
        <f t="shared" si="4"/>
        <v>2.8519999999999999</v>
      </c>
    </row>
    <row r="82" spans="1:9" x14ac:dyDescent="0.25">
      <c r="A82" s="22" t="s">
        <v>69</v>
      </c>
      <c r="B82" s="5" t="s">
        <v>148</v>
      </c>
      <c r="C82" s="31">
        <v>2245</v>
      </c>
      <c r="D82" s="32">
        <f t="shared" si="5"/>
        <v>4.49</v>
      </c>
      <c r="F82" s="22" t="s">
        <v>711</v>
      </c>
      <c r="G82" s="5" t="s">
        <v>365</v>
      </c>
      <c r="H82" s="31">
        <v>6111</v>
      </c>
      <c r="I82" s="32">
        <f t="shared" si="4"/>
        <v>12.222</v>
      </c>
    </row>
    <row r="83" spans="1:9" x14ac:dyDescent="0.25">
      <c r="A83" s="22" t="s">
        <v>149</v>
      </c>
      <c r="B83" s="5" t="s">
        <v>150</v>
      </c>
      <c r="C83" s="31">
        <v>1974</v>
      </c>
      <c r="D83" s="32">
        <f t="shared" si="5"/>
        <v>3.948</v>
      </c>
      <c r="F83" s="22" t="s">
        <v>712</v>
      </c>
      <c r="G83" s="5" t="s">
        <v>713</v>
      </c>
      <c r="H83" s="31">
        <v>6737</v>
      </c>
      <c r="I83" s="32">
        <f t="shared" si="4"/>
        <v>13.474</v>
      </c>
    </row>
    <row r="84" spans="1:9" x14ac:dyDescent="0.25">
      <c r="A84" s="22" t="s">
        <v>46</v>
      </c>
      <c r="B84" s="5" t="s">
        <v>151</v>
      </c>
      <c r="C84" s="31">
        <v>1969</v>
      </c>
      <c r="D84" s="32">
        <f t="shared" si="5"/>
        <v>3.9380000000000002</v>
      </c>
      <c r="F84" s="22" t="s">
        <v>714</v>
      </c>
      <c r="G84" s="5" t="s">
        <v>367</v>
      </c>
      <c r="H84" s="31">
        <v>1061</v>
      </c>
      <c r="I84" s="32">
        <f t="shared" si="4"/>
        <v>2.1219999999999999</v>
      </c>
    </row>
    <row r="85" spans="1:9" x14ac:dyDescent="0.25">
      <c r="A85" s="22" t="s">
        <v>152</v>
      </c>
      <c r="B85" s="5" t="s">
        <v>153</v>
      </c>
      <c r="C85" s="31">
        <v>1039</v>
      </c>
      <c r="D85" s="32">
        <f t="shared" si="5"/>
        <v>2.0779999999999998</v>
      </c>
      <c r="F85" s="22" t="s">
        <v>715</v>
      </c>
      <c r="G85" s="5" t="s">
        <v>369</v>
      </c>
      <c r="H85" s="31">
        <v>3746</v>
      </c>
      <c r="I85" s="32">
        <f t="shared" si="4"/>
        <v>7.492</v>
      </c>
    </row>
    <row r="86" spans="1:9" x14ac:dyDescent="0.25">
      <c r="A86" s="22" t="s">
        <v>5</v>
      </c>
      <c r="B86" s="5" t="s">
        <v>221</v>
      </c>
      <c r="C86" s="31">
        <v>216</v>
      </c>
      <c r="D86" s="32">
        <f t="shared" si="5"/>
        <v>0.432</v>
      </c>
      <c r="F86" s="22" t="s">
        <v>716</v>
      </c>
      <c r="G86" s="5" t="s">
        <v>717</v>
      </c>
      <c r="H86" s="31">
        <v>5792</v>
      </c>
      <c r="I86" s="32">
        <f t="shared" si="4"/>
        <v>11.584</v>
      </c>
    </row>
    <row r="87" spans="1:9" x14ac:dyDescent="0.25">
      <c r="A87" s="22" t="s">
        <v>35</v>
      </c>
      <c r="B87" s="5" t="s">
        <v>155</v>
      </c>
      <c r="C87" s="31">
        <v>3</v>
      </c>
      <c r="D87" s="32">
        <f t="shared" si="5"/>
        <v>6.0000000000000001E-3</v>
      </c>
      <c r="F87" s="22" t="s">
        <v>716</v>
      </c>
      <c r="G87" s="5" t="s">
        <v>718</v>
      </c>
      <c r="H87" s="31">
        <v>1305</v>
      </c>
      <c r="I87" s="32">
        <f t="shared" si="4"/>
        <v>2.61</v>
      </c>
    </row>
    <row r="88" spans="1:9" x14ac:dyDescent="0.25">
      <c r="A88" s="22" t="s">
        <v>14</v>
      </c>
      <c r="B88" s="5" t="s">
        <v>156</v>
      </c>
      <c r="C88" s="31">
        <v>1703</v>
      </c>
      <c r="D88" s="32">
        <f t="shared" si="5"/>
        <v>3.4060000000000001</v>
      </c>
      <c r="F88" s="22" t="s">
        <v>719</v>
      </c>
      <c r="G88" s="5" t="s">
        <v>371</v>
      </c>
      <c r="H88" s="31">
        <v>448</v>
      </c>
      <c r="I88" s="32">
        <f t="shared" si="4"/>
        <v>0.89600000000000002</v>
      </c>
    </row>
    <row r="89" spans="1:9" x14ac:dyDescent="0.25">
      <c r="A89" s="22" t="s">
        <v>157</v>
      </c>
      <c r="B89" s="5" t="s">
        <v>158</v>
      </c>
      <c r="C89" s="31">
        <v>1429</v>
      </c>
      <c r="D89" s="32">
        <f t="shared" si="5"/>
        <v>2.8580000000000001</v>
      </c>
      <c r="F89" s="22" t="s">
        <v>664</v>
      </c>
      <c r="G89" s="5" t="s">
        <v>372</v>
      </c>
      <c r="H89" s="31">
        <v>6666</v>
      </c>
      <c r="I89" s="32">
        <f t="shared" si="4"/>
        <v>13.332000000000001</v>
      </c>
    </row>
    <row r="90" spans="1:9" x14ac:dyDescent="0.25">
      <c r="A90" s="22" t="s">
        <v>42</v>
      </c>
      <c r="B90" s="5" t="s">
        <v>159</v>
      </c>
      <c r="C90" s="31">
        <v>216</v>
      </c>
      <c r="D90" s="32">
        <f t="shared" si="5"/>
        <v>0.432</v>
      </c>
      <c r="F90" s="22" t="s">
        <v>720</v>
      </c>
      <c r="G90" s="5" t="s">
        <v>721</v>
      </c>
      <c r="H90" s="31">
        <v>8101</v>
      </c>
      <c r="I90" s="32">
        <f t="shared" si="4"/>
        <v>16.202000000000002</v>
      </c>
    </row>
    <row r="91" spans="1:9" x14ac:dyDescent="0.25">
      <c r="A91" s="22" t="s">
        <v>38</v>
      </c>
      <c r="B91" s="5" t="s">
        <v>160</v>
      </c>
      <c r="C91" s="31">
        <v>5175</v>
      </c>
      <c r="D91" s="32">
        <f t="shared" si="5"/>
        <v>10.35</v>
      </c>
      <c r="F91" s="22" t="s">
        <v>644</v>
      </c>
      <c r="G91" s="5" t="s">
        <v>373</v>
      </c>
      <c r="H91" s="31">
        <v>2002</v>
      </c>
      <c r="I91" s="32">
        <f t="shared" si="4"/>
        <v>4.0039999999999996</v>
      </c>
    </row>
    <row r="92" spans="1:9" x14ac:dyDescent="0.25">
      <c r="A92" s="22" t="s">
        <v>29</v>
      </c>
      <c r="B92" s="5" t="s">
        <v>161</v>
      </c>
      <c r="C92" s="31">
        <v>250</v>
      </c>
      <c r="D92" s="32">
        <f t="shared" si="5"/>
        <v>0.5</v>
      </c>
      <c r="F92" s="22" t="s">
        <v>722</v>
      </c>
      <c r="G92" s="5" t="s">
        <v>723</v>
      </c>
      <c r="H92" s="31">
        <v>13314</v>
      </c>
      <c r="I92" s="32">
        <f t="shared" si="4"/>
        <v>26.628</v>
      </c>
    </row>
    <row r="93" spans="1:9" x14ac:dyDescent="0.25">
      <c r="A93" s="22" t="s">
        <v>163</v>
      </c>
      <c r="B93" s="5" t="s">
        <v>164</v>
      </c>
      <c r="C93" s="31">
        <v>448</v>
      </c>
      <c r="D93" s="32">
        <f t="shared" si="5"/>
        <v>0.89600000000000002</v>
      </c>
      <c r="F93" s="22" t="s">
        <v>724</v>
      </c>
      <c r="G93" s="5" t="s">
        <v>374</v>
      </c>
      <c r="H93" s="31">
        <v>7027</v>
      </c>
      <c r="I93" s="32">
        <f t="shared" si="4"/>
        <v>14.054</v>
      </c>
    </row>
    <row r="94" spans="1:9" x14ac:dyDescent="0.25">
      <c r="A94" s="22" t="s">
        <v>35</v>
      </c>
      <c r="B94" s="5" t="s">
        <v>165</v>
      </c>
      <c r="C94" s="31">
        <v>1852</v>
      </c>
      <c r="D94" s="32">
        <f t="shared" si="5"/>
        <v>3.7040000000000002</v>
      </c>
      <c r="F94" s="22" t="s">
        <v>725</v>
      </c>
      <c r="G94" s="5" t="s">
        <v>376</v>
      </c>
      <c r="H94" s="31">
        <v>6662</v>
      </c>
      <c r="I94" s="32">
        <f t="shared" si="4"/>
        <v>13.324</v>
      </c>
    </row>
    <row r="95" spans="1:9" x14ac:dyDescent="0.25">
      <c r="A95" s="22" t="s">
        <v>33</v>
      </c>
      <c r="B95" s="5" t="s">
        <v>166</v>
      </c>
      <c r="C95" s="31">
        <v>0</v>
      </c>
      <c r="D95" s="32">
        <f t="shared" si="5"/>
        <v>0</v>
      </c>
      <c r="F95" s="22" t="s">
        <v>726</v>
      </c>
      <c r="G95" s="5" t="s">
        <v>377</v>
      </c>
      <c r="H95" s="31">
        <v>1569</v>
      </c>
      <c r="I95" s="32">
        <f t="shared" si="4"/>
        <v>3.1379999999999999</v>
      </c>
    </row>
    <row r="96" spans="1:9" x14ac:dyDescent="0.25">
      <c r="A96" s="22" t="s">
        <v>167</v>
      </c>
      <c r="B96" s="5" t="s">
        <v>168</v>
      </c>
      <c r="C96" s="31">
        <v>891</v>
      </c>
      <c r="D96" s="32">
        <f t="shared" si="5"/>
        <v>1.782</v>
      </c>
      <c r="F96" s="22" t="s">
        <v>727</v>
      </c>
      <c r="G96" s="5" t="s">
        <v>379</v>
      </c>
      <c r="H96" s="31">
        <v>1831</v>
      </c>
      <c r="I96" s="32">
        <f t="shared" si="4"/>
        <v>3.6619999999999999</v>
      </c>
    </row>
    <row r="97" spans="1:9" x14ac:dyDescent="0.25">
      <c r="A97" s="22" t="s">
        <v>57</v>
      </c>
      <c r="B97" s="5" t="s">
        <v>169</v>
      </c>
      <c r="C97" s="31">
        <v>974</v>
      </c>
      <c r="D97" s="32">
        <f t="shared" si="5"/>
        <v>1.948</v>
      </c>
      <c r="F97" s="22" t="s">
        <v>230</v>
      </c>
      <c r="G97" s="5" t="s">
        <v>381</v>
      </c>
      <c r="H97" s="31">
        <v>3449</v>
      </c>
      <c r="I97" s="32">
        <f t="shared" si="4"/>
        <v>6.8979999999999997</v>
      </c>
    </row>
    <row r="98" spans="1:9" x14ac:dyDescent="0.25">
      <c r="A98" s="22" t="s">
        <v>170</v>
      </c>
      <c r="B98" s="5" t="s">
        <v>171</v>
      </c>
      <c r="C98" s="31">
        <v>280</v>
      </c>
      <c r="D98" s="32">
        <f t="shared" si="5"/>
        <v>0.56000000000000005</v>
      </c>
      <c r="F98" s="22" t="s">
        <v>728</v>
      </c>
      <c r="G98" s="5" t="s">
        <v>383</v>
      </c>
      <c r="H98" s="31">
        <v>4012</v>
      </c>
      <c r="I98" s="32">
        <f t="shared" si="4"/>
        <v>8.0239999999999991</v>
      </c>
    </row>
    <row r="99" spans="1:9" x14ac:dyDescent="0.25">
      <c r="A99" s="22" t="s">
        <v>35</v>
      </c>
      <c r="B99" s="5" t="s">
        <v>172</v>
      </c>
      <c r="C99" s="31">
        <v>1401</v>
      </c>
      <c r="D99" s="32">
        <f t="shared" si="5"/>
        <v>2.802</v>
      </c>
      <c r="F99" s="22" t="s">
        <v>729</v>
      </c>
      <c r="G99" s="5" t="s">
        <v>385</v>
      </c>
      <c r="H99" s="31">
        <v>0</v>
      </c>
      <c r="I99" s="32">
        <f t="shared" si="4"/>
        <v>0</v>
      </c>
    </row>
    <row r="100" spans="1:9" x14ac:dyDescent="0.25">
      <c r="A100" s="22" t="s">
        <v>10</v>
      </c>
      <c r="B100" s="5" t="s">
        <v>173</v>
      </c>
      <c r="C100" s="31">
        <v>122</v>
      </c>
      <c r="D100" s="32">
        <f t="shared" si="5"/>
        <v>0.24399999999999999</v>
      </c>
      <c r="F100" s="22" t="s">
        <v>730</v>
      </c>
      <c r="G100" s="5" t="s">
        <v>387</v>
      </c>
      <c r="H100" s="31">
        <v>3864</v>
      </c>
      <c r="I100" s="32">
        <f t="shared" si="4"/>
        <v>7.7279999999999998</v>
      </c>
    </row>
    <row r="101" spans="1:9" x14ac:dyDescent="0.25">
      <c r="A101" s="22" t="s">
        <v>48</v>
      </c>
      <c r="B101" s="5" t="s">
        <v>174</v>
      </c>
      <c r="C101" s="31">
        <v>380</v>
      </c>
      <c r="D101" s="32">
        <f t="shared" si="5"/>
        <v>0.76</v>
      </c>
      <c r="F101" s="22" t="s">
        <v>674</v>
      </c>
      <c r="G101" s="5" t="s">
        <v>388</v>
      </c>
      <c r="H101" s="31">
        <v>3583</v>
      </c>
      <c r="I101" s="32">
        <f t="shared" si="4"/>
        <v>7.1660000000000004</v>
      </c>
    </row>
    <row r="102" spans="1:9" x14ac:dyDescent="0.25">
      <c r="A102" s="22" t="s">
        <v>175</v>
      </c>
      <c r="B102" s="5" t="s">
        <v>176</v>
      </c>
      <c r="C102" s="31">
        <v>245</v>
      </c>
      <c r="D102" s="32">
        <f t="shared" si="5"/>
        <v>0.49</v>
      </c>
      <c r="F102" s="22" t="s">
        <v>731</v>
      </c>
      <c r="G102" s="5" t="s">
        <v>390</v>
      </c>
      <c r="H102" s="31">
        <v>1044</v>
      </c>
      <c r="I102" s="32">
        <f t="shared" si="4"/>
        <v>2.0880000000000001</v>
      </c>
    </row>
    <row r="103" spans="1:9" x14ac:dyDescent="0.25">
      <c r="A103" s="22" t="s">
        <v>177</v>
      </c>
      <c r="B103" s="5" t="s">
        <v>178</v>
      </c>
      <c r="C103" s="31">
        <v>1836</v>
      </c>
      <c r="D103" s="32">
        <f t="shared" si="5"/>
        <v>3.6720000000000002</v>
      </c>
      <c r="F103" s="22" t="s">
        <v>732</v>
      </c>
      <c r="G103" s="5" t="s">
        <v>392</v>
      </c>
      <c r="H103" s="31">
        <v>1550</v>
      </c>
      <c r="I103" s="32">
        <f t="shared" si="4"/>
        <v>3.1</v>
      </c>
    </row>
    <row r="104" spans="1:9" x14ac:dyDescent="0.25">
      <c r="A104" s="22" t="s">
        <v>22</v>
      </c>
      <c r="B104" s="5" t="s">
        <v>179</v>
      </c>
      <c r="C104" s="31">
        <v>2213</v>
      </c>
      <c r="D104" s="32">
        <f t="shared" si="5"/>
        <v>4.4260000000000002</v>
      </c>
      <c r="F104" s="22" t="s">
        <v>733</v>
      </c>
      <c r="G104" s="5" t="s">
        <v>394</v>
      </c>
      <c r="H104" s="31">
        <v>474</v>
      </c>
      <c r="I104" s="32">
        <f t="shared" si="4"/>
        <v>0.94799999999999995</v>
      </c>
    </row>
    <row r="105" spans="1:9" x14ac:dyDescent="0.25">
      <c r="A105" s="22" t="s">
        <v>77</v>
      </c>
      <c r="B105" s="5" t="s">
        <v>180</v>
      </c>
      <c r="C105" s="31">
        <v>1817</v>
      </c>
      <c r="D105" s="32">
        <f t="shared" si="5"/>
        <v>3.6339999999999999</v>
      </c>
      <c r="F105" s="22" t="s">
        <v>734</v>
      </c>
      <c r="G105" s="5" t="s">
        <v>735</v>
      </c>
      <c r="H105" s="31">
        <v>4142</v>
      </c>
      <c r="I105" s="32">
        <f t="shared" si="4"/>
        <v>8.2840000000000007</v>
      </c>
    </row>
    <row r="106" spans="1:9" x14ac:dyDescent="0.25">
      <c r="A106" s="22" t="s">
        <v>113</v>
      </c>
      <c r="B106" s="5" t="s">
        <v>181</v>
      </c>
      <c r="C106" s="31">
        <v>318</v>
      </c>
      <c r="D106" s="32">
        <f t="shared" si="5"/>
        <v>0.63600000000000001</v>
      </c>
      <c r="F106" s="22" t="s">
        <v>734</v>
      </c>
      <c r="G106" s="5" t="s">
        <v>736</v>
      </c>
      <c r="H106" s="31">
        <v>960</v>
      </c>
      <c r="I106" s="32">
        <f t="shared" si="4"/>
        <v>1.92</v>
      </c>
    </row>
    <row r="107" spans="1:9" x14ac:dyDescent="0.25">
      <c r="A107" s="22" t="s">
        <v>35</v>
      </c>
      <c r="B107" s="5" t="s">
        <v>182</v>
      </c>
      <c r="C107" s="31">
        <v>4</v>
      </c>
      <c r="D107" s="32">
        <f t="shared" si="5"/>
        <v>8.0000000000000002E-3</v>
      </c>
      <c r="F107" s="22" t="s">
        <v>737</v>
      </c>
      <c r="G107" s="5" t="s">
        <v>738</v>
      </c>
      <c r="H107" s="31">
        <v>0</v>
      </c>
      <c r="I107" s="32">
        <f t="shared" si="4"/>
        <v>0</v>
      </c>
    </row>
    <row r="108" spans="1:9" x14ac:dyDescent="0.25">
      <c r="A108" s="22" t="s">
        <v>183</v>
      </c>
      <c r="B108" s="5" t="s">
        <v>184</v>
      </c>
      <c r="C108" s="31">
        <v>2680</v>
      </c>
      <c r="D108" s="32">
        <f t="shared" si="5"/>
        <v>5.36</v>
      </c>
      <c r="F108" s="22" t="s">
        <v>737</v>
      </c>
      <c r="G108" s="5" t="s">
        <v>739</v>
      </c>
      <c r="H108" s="31">
        <v>6020</v>
      </c>
      <c r="I108" s="32">
        <f t="shared" si="4"/>
        <v>12.04</v>
      </c>
    </row>
    <row r="109" spans="1:9" x14ac:dyDescent="0.25">
      <c r="A109" s="22" t="s">
        <v>22</v>
      </c>
      <c r="B109" s="5" t="s">
        <v>222</v>
      </c>
      <c r="C109" s="31">
        <v>1903</v>
      </c>
      <c r="D109" s="32">
        <f t="shared" si="5"/>
        <v>3.806</v>
      </c>
      <c r="F109" s="22" t="s">
        <v>740</v>
      </c>
      <c r="G109" s="5" t="s">
        <v>396</v>
      </c>
      <c r="H109" s="31">
        <v>1517</v>
      </c>
      <c r="I109" s="32">
        <f t="shared" si="4"/>
        <v>3.0339999999999998</v>
      </c>
    </row>
    <row r="110" spans="1:9" x14ac:dyDescent="0.25">
      <c r="A110" s="22" t="s">
        <v>186</v>
      </c>
      <c r="B110" s="5" t="s">
        <v>187</v>
      </c>
      <c r="C110" s="31">
        <v>1359</v>
      </c>
      <c r="D110" s="32">
        <f t="shared" si="5"/>
        <v>2.718</v>
      </c>
      <c r="F110" s="22" t="s">
        <v>741</v>
      </c>
      <c r="G110" s="5" t="s">
        <v>398</v>
      </c>
      <c r="H110" s="31">
        <v>2178</v>
      </c>
      <c r="I110" s="32">
        <f t="shared" si="4"/>
        <v>4.3559999999999999</v>
      </c>
    </row>
    <row r="111" spans="1:9" x14ac:dyDescent="0.25">
      <c r="A111" s="22" t="s">
        <v>188</v>
      </c>
      <c r="B111" s="5" t="s">
        <v>189</v>
      </c>
      <c r="C111" s="31">
        <v>801</v>
      </c>
      <c r="D111" s="32">
        <f t="shared" si="5"/>
        <v>1.6020000000000001</v>
      </c>
      <c r="F111" s="22" t="s">
        <v>742</v>
      </c>
      <c r="G111" s="5" t="s">
        <v>400</v>
      </c>
      <c r="H111" s="31">
        <v>855</v>
      </c>
      <c r="I111" s="32">
        <f t="shared" si="4"/>
        <v>1.71</v>
      </c>
    </row>
    <row r="112" spans="1:9" x14ac:dyDescent="0.25">
      <c r="A112" s="22" t="s">
        <v>190</v>
      </c>
      <c r="B112" s="5" t="s">
        <v>191</v>
      </c>
      <c r="C112" s="31">
        <v>115</v>
      </c>
      <c r="D112" s="32">
        <f t="shared" si="5"/>
        <v>0.23</v>
      </c>
      <c r="F112" s="22" t="s">
        <v>743</v>
      </c>
      <c r="G112" s="5" t="s">
        <v>402</v>
      </c>
      <c r="H112" s="31">
        <v>802</v>
      </c>
      <c r="I112" s="32">
        <f t="shared" si="4"/>
        <v>1.6040000000000001</v>
      </c>
    </row>
    <row r="113" spans="1:9" x14ac:dyDescent="0.25">
      <c r="A113" s="22" t="s">
        <v>44</v>
      </c>
      <c r="B113" s="5" t="s">
        <v>192</v>
      </c>
      <c r="C113" s="31">
        <v>0</v>
      </c>
      <c r="D113" s="32">
        <f t="shared" si="5"/>
        <v>0</v>
      </c>
      <c r="F113" s="22" t="s">
        <v>744</v>
      </c>
      <c r="G113" s="5" t="s">
        <v>404</v>
      </c>
      <c r="H113" s="31">
        <v>827</v>
      </c>
      <c r="I113" s="32">
        <f t="shared" si="4"/>
        <v>1.6539999999999999</v>
      </c>
    </row>
    <row r="114" spans="1:9" x14ac:dyDescent="0.25">
      <c r="A114" s="22" t="s">
        <v>193</v>
      </c>
      <c r="B114" s="5" t="s">
        <v>194</v>
      </c>
      <c r="C114" s="31">
        <v>263</v>
      </c>
      <c r="D114" s="32">
        <f t="shared" si="5"/>
        <v>0.52600000000000002</v>
      </c>
      <c r="F114" s="22" t="s">
        <v>745</v>
      </c>
      <c r="G114" s="5" t="s">
        <v>406</v>
      </c>
      <c r="H114" s="31">
        <v>1080</v>
      </c>
      <c r="I114" s="32">
        <f t="shared" si="4"/>
        <v>2.16</v>
      </c>
    </row>
    <row r="115" spans="1:9" x14ac:dyDescent="0.25">
      <c r="A115" s="22" t="s">
        <v>3</v>
      </c>
      <c r="B115" s="5" t="s">
        <v>195</v>
      </c>
      <c r="C115" s="31">
        <v>3383</v>
      </c>
      <c r="D115" s="32">
        <f t="shared" si="5"/>
        <v>6.766</v>
      </c>
      <c r="F115" s="22" t="s">
        <v>746</v>
      </c>
      <c r="G115" s="5" t="s">
        <v>408</v>
      </c>
      <c r="H115" s="31">
        <v>1340</v>
      </c>
      <c r="I115" s="32">
        <f t="shared" si="4"/>
        <v>2.68</v>
      </c>
    </row>
    <row r="116" spans="1:9" x14ac:dyDescent="0.25">
      <c r="A116" s="22" t="s">
        <v>22</v>
      </c>
      <c r="B116" s="5" t="s">
        <v>196</v>
      </c>
      <c r="C116" s="31">
        <v>4496</v>
      </c>
      <c r="D116" s="32">
        <f t="shared" si="5"/>
        <v>8.9920000000000009</v>
      </c>
      <c r="F116" s="22" t="s">
        <v>747</v>
      </c>
      <c r="G116" s="5" t="s">
        <v>410</v>
      </c>
      <c r="H116" s="31">
        <v>242</v>
      </c>
      <c r="I116" s="32">
        <f t="shared" si="4"/>
        <v>0.48399999999999999</v>
      </c>
    </row>
    <row r="117" spans="1:9" x14ac:dyDescent="0.25">
      <c r="A117" s="22" t="s">
        <v>149</v>
      </c>
      <c r="B117" s="5" t="s">
        <v>197</v>
      </c>
      <c r="C117" s="31">
        <v>238</v>
      </c>
      <c r="D117" s="32">
        <f t="shared" si="5"/>
        <v>0.47599999999999998</v>
      </c>
      <c r="F117" s="22" t="s">
        <v>748</v>
      </c>
      <c r="G117" s="5" t="s">
        <v>412</v>
      </c>
      <c r="H117" s="31">
        <v>843</v>
      </c>
      <c r="I117" s="32">
        <f t="shared" si="4"/>
        <v>1.6859999999999999</v>
      </c>
    </row>
    <row r="118" spans="1:9" x14ac:dyDescent="0.25">
      <c r="A118" s="22" t="s">
        <v>198</v>
      </c>
      <c r="B118" s="5" t="s">
        <v>199</v>
      </c>
      <c r="C118" s="31">
        <v>199</v>
      </c>
      <c r="D118" s="32">
        <f t="shared" si="5"/>
        <v>0.39800000000000002</v>
      </c>
      <c r="F118" s="22" t="s">
        <v>749</v>
      </c>
      <c r="G118" s="5" t="s">
        <v>414</v>
      </c>
      <c r="H118" s="31">
        <v>1211</v>
      </c>
      <c r="I118" s="32">
        <f t="shared" si="4"/>
        <v>2.4220000000000002</v>
      </c>
    </row>
    <row r="119" spans="1:9" x14ac:dyDescent="0.25">
      <c r="A119" s="22" t="s">
        <v>200</v>
      </c>
      <c r="B119" s="5" t="s">
        <v>201</v>
      </c>
      <c r="C119" s="31">
        <v>916</v>
      </c>
      <c r="D119" s="32">
        <f t="shared" si="5"/>
        <v>1.8320000000000001</v>
      </c>
      <c r="F119" s="22" t="s">
        <v>694</v>
      </c>
      <c r="G119" s="5" t="s">
        <v>415</v>
      </c>
      <c r="H119" s="31">
        <v>981</v>
      </c>
      <c r="I119" s="32">
        <f t="shared" si="4"/>
        <v>1.962</v>
      </c>
    </row>
    <row r="120" spans="1:9" x14ac:dyDescent="0.25">
      <c r="A120" s="22" t="s">
        <v>121</v>
      </c>
      <c r="B120" s="5" t="s">
        <v>202</v>
      </c>
      <c r="C120" s="31">
        <v>785</v>
      </c>
      <c r="D120" s="32">
        <f t="shared" si="5"/>
        <v>1.57</v>
      </c>
      <c r="F120" s="22" t="s">
        <v>750</v>
      </c>
      <c r="G120" s="5" t="s">
        <v>417</v>
      </c>
      <c r="H120" s="31">
        <v>442</v>
      </c>
      <c r="I120" s="32">
        <f t="shared" si="4"/>
        <v>0.88400000000000001</v>
      </c>
    </row>
    <row r="121" spans="1:9" x14ac:dyDescent="0.25">
      <c r="A121" s="22" t="s">
        <v>203</v>
      </c>
      <c r="B121" s="5" t="s">
        <v>204</v>
      </c>
      <c r="C121" s="31">
        <v>1</v>
      </c>
      <c r="D121" s="32">
        <f t="shared" si="5"/>
        <v>2E-3</v>
      </c>
      <c r="F121" s="22" t="s">
        <v>751</v>
      </c>
      <c r="G121" s="5" t="s">
        <v>419</v>
      </c>
      <c r="H121" s="31">
        <v>736</v>
      </c>
      <c r="I121" s="32">
        <f t="shared" si="4"/>
        <v>1.472</v>
      </c>
    </row>
    <row r="122" spans="1:9" x14ac:dyDescent="0.25">
      <c r="A122" s="22" t="s">
        <v>205</v>
      </c>
      <c r="B122" s="5" t="s">
        <v>206</v>
      </c>
      <c r="C122" s="31">
        <v>207</v>
      </c>
      <c r="D122" s="32">
        <f t="shared" si="5"/>
        <v>0.41399999999999998</v>
      </c>
      <c r="F122" s="22" t="s">
        <v>663</v>
      </c>
      <c r="G122" s="5" t="s">
        <v>421</v>
      </c>
      <c r="H122" s="31">
        <v>11468</v>
      </c>
      <c r="I122" s="32">
        <f t="shared" si="4"/>
        <v>22.936</v>
      </c>
    </row>
    <row r="123" spans="1:9" x14ac:dyDescent="0.25">
      <c r="A123" s="22" t="s">
        <v>100</v>
      </c>
      <c r="B123" s="5" t="s">
        <v>207</v>
      </c>
      <c r="C123" s="31">
        <v>950</v>
      </c>
      <c r="D123" s="32">
        <f t="shared" si="5"/>
        <v>1.9</v>
      </c>
      <c r="F123" s="22" t="s">
        <v>752</v>
      </c>
      <c r="G123" s="5" t="s">
        <v>753</v>
      </c>
      <c r="H123" s="31">
        <v>2700</v>
      </c>
      <c r="I123" s="32">
        <f t="shared" si="4"/>
        <v>5.4</v>
      </c>
    </row>
    <row r="124" spans="1:9" x14ac:dyDescent="0.25">
      <c r="A124" s="22" t="s">
        <v>208</v>
      </c>
      <c r="B124" s="5" t="s">
        <v>209</v>
      </c>
      <c r="C124" s="31">
        <v>497</v>
      </c>
      <c r="D124" s="32">
        <f t="shared" si="5"/>
        <v>0.99399999999999999</v>
      </c>
      <c r="F124" s="22" t="s">
        <v>423</v>
      </c>
      <c r="G124" s="5" t="s">
        <v>754</v>
      </c>
      <c r="H124" s="31">
        <v>0</v>
      </c>
      <c r="I124" s="32">
        <f t="shared" si="4"/>
        <v>0</v>
      </c>
    </row>
    <row r="125" spans="1:9" x14ac:dyDescent="0.25">
      <c r="A125" s="22" t="s">
        <v>210</v>
      </c>
      <c r="B125" s="5" t="s">
        <v>211</v>
      </c>
      <c r="C125" s="31">
        <v>841</v>
      </c>
      <c r="D125" s="32">
        <f t="shared" si="5"/>
        <v>1.6819999999999999</v>
      </c>
      <c r="F125" s="22" t="s">
        <v>755</v>
      </c>
      <c r="G125" s="5" t="s">
        <v>422</v>
      </c>
      <c r="H125" s="31">
        <v>10060</v>
      </c>
      <c r="I125" s="32">
        <f t="shared" si="4"/>
        <v>20.12</v>
      </c>
    </row>
    <row r="126" spans="1:9" ht="15.75" thickBot="1" x14ac:dyDescent="0.3">
      <c r="A126" s="22" t="s">
        <v>212</v>
      </c>
      <c r="B126" s="5" t="s">
        <v>213</v>
      </c>
      <c r="C126" s="31">
        <v>544</v>
      </c>
      <c r="D126" s="32">
        <f t="shared" si="5"/>
        <v>1.0880000000000001</v>
      </c>
      <c r="F126" s="23" t="s">
        <v>756</v>
      </c>
      <c r="G126" s="24" t="s">
        <v>162</v>
      </c>
      <c r="H126" s="33">
        <v>6007</v>
      </c>
      <c r="I126" s="34">
        <f t="shared" si="4"/>
        <v>12.013999999999999</v>
      </c>
    </row>
    <row r="127" spans="1:9" x14ac:dyDescent="0.25">
      <c r="A127" s="22" t="s">
        <v>216</v>
      </c>
      <c r="B127" s="5" t="s">
        <v>217</v>
      </c>
      <c r="C127" s="31">
        <v>252</v>
      </c>
      <c r="D127" s="32">
        <f t="shared" si="5"/>
        <v>0.504</v>
      </c>
    </row>
    <row r="128" spans="1:9" ht="15.75" thickBot="1" x14ac:dyDescent="0.3">
      <c r="A128" s="23" t="s">
        <v>629</v>
      </c>
      <c r="B128" s="24" t="s">
        <v>619</v>
      </c>
      <c r="C128" s="33">
        <v>633</v>
      </c>
      <c r="D128" s="34">
        <f t="shared" si="5"/>
        <v>1.266</v>
      </c>
    </row>
  </sheetData>
  <mergeCells count="4">
    <mergeCell ref="A1:D1"/>
    <mergeCell ref="F1:I1"/>
    <mergeCell ref="K1:N1"/>
    <mergeCell ref="P1:S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7693-520A-449C-A912-1A41D4BE8E81}">
  <dimension ref="A1:S132"/>
  <sheetViews>
    <sheetView showGridLines="0" workbookViewId="0">
      <selection activeCell="R2" sqref="R1:S1048576"/>
    </sheetView>
  </sheetViews>
  <sheetFormatPr defaultRowHeight="15" x14ac:dyDescent="0.25"/>
  <cols>
    <col min="1" max="1" width="17.28515625" customWidth="1"/>
    <col min="2" max="2" width="14.28515625" bestFit="1" customWidth="1"/>
    <col min="3" max="4" width="9.140625" style="2"/>
    <col min="5" max="5" width="3.42578125" customWidth="1"/>
    <col min="6" max="6" width="15.140625" customWidth="1"/>
    <col min="7" max="7" width="13.7109375" bestFit="1" customWidth="1"/>
    <col min="8" max="9" width="9.140625" style="2"/>
    <col min="10" max="10" width="3.42578125" customWidth="1"/>
    <col min="11" max="11" width="22.7109375" customWidth="1"/>
    <col min="12" max="12" width="13.85546875" bestFit="1" customWidth="1"/>
    <col min="13" max="14" width="9.140625" style="2"/>
    <col min="15" max="15" width="2.5703125" customWidth="1"/>
    <col min="16" max="16" width="21.5703125" customWidth="1"/>
    <col min="17" max="17" width="13.5703125" bestFit="1" customWidth="1"/>
    <col min="18" max="19" width="9.140625" style="2"/>
  </cols>
  <sheetData>
    <row r="1" spans="1:19" ht="16.5" thickBot="1" x14ac:dyDescent="0.3">
      <c r="A1" s="17" t="s">
        <v>223</v>
      </c>
      <c r="B1" s="18"/>
      <c r="C1" s="18"/>
      <c r="D1" s="19"/>
      <c r="F1" s="12" t="s">
        <v>424</v>
      </c>
      <c r="G1" s="13"/>
      <c r="H1" s="13"/>
      <c r="I1" s="16"/>
      <c r="K1" s="12" t="s">
        <v>555</v>
      </c>
      <c r="L1" s="13"/>
      <c r="M1" s="13"/>
      <c r="N1" s="16"/>
      <c r="P1" s="12" t="s">
        <v>620</v>
      </c>
      <c r="Q1" s="13"/>
      <c r="R1" s="13"/>
      <c r="S1" s="16"/>
    </row>
    <row r="2" spans="1:19" ht="15.75" thickBot="1" x14ac:dyDescent="0.3">
      <c r="C2" s="27" t="s">
        <v>631</v>
      </c>
      <c r="D2" s="28" t="s">
        <v>630</v>
      </c>
      <c r="H2" s="35" t="s">
        <v>631</v>
      </c>
      <c r="I2" s="35" t="s">
        <v>630</v>
      </c>
      <c r="M2" s="35" t="s">
        <v>631</v>
      </c>
      <c r="N2" s="35" t="s">
        <v>630</v>
      </c>
      <c r="R2" s="35" t="s">
        <v>631</v>
      </c>
      <c r="S2" s="35" t="s">
        <v>630</v>
      </c>
    </row>
    <row r="3" spans="1:19" x14ac:dyDescent="0.25">
      <c r="A3" s="20" t="s">
        <v>3</v>
      </c>
      <c r="B3" s="21" t="s">
        <v>4</v>
      </c>
      <c r="C3" s="29">
        <v>2331</v>
      </c>
      <c r="D3" s="36">
        <f>C3/500</f>
        <v>4.6619999999999999</v>
      </c>
      <c r="F3" s="20" t="s">
        <v>632</v>
      </c>
      <c r="G3" s="21" t="s">
        <v>225</v>
      </c>
      <c r="H3" s="29">
        <v>243</v>
      </c>
      <c r="I3" s="30">
        <f>H3/500</f>
        <v>0.48599999999999999</v>
      </c>
      <c r="K3" s="20" t="s">
        <v>425</v>
      </c>
      <c r="L3" s="21" t="s">
        <v>426</v>
      </c>
      <c r="M3" s="29">
        <v>1560</v>
      </c>
      <c r="N3" s="36">
        <f>M3/500</f>
        <v>3.12</v>
      </c>
      <c r="P3" s="20" t="s">
        <v>556</v>
      </c>
      <c r="Q3" s="21" t="s">
        <v>557</v>
      </c>
      <c r="R3" s="29">
        <v>2912</v>
      </c>
      <c r="S3" s="36">
        <f>R3/500</f>
        <v>5.8239999999999998</v>
      </c>
    </row>
    <row r="4" spans="1:19" x14ac:dyDescent="0.25">
      <c r="A4" s="22" t="s">
        <v>5</v>
      </c>
      <c r="B4" s="5" t="s">
        <v>6</v>
      </c>
      <c r="C4" s="31">
        <v>10256</v>
      </c>
      <c r="D4" s="37">
        <f t="shared" ref="D4:D67" si="0">C4/500</f>
        <v>20.512</v>
      </c>
      <c r="F4" s="22" t="s">
        <v>633</v>
      </c>
      <c r="G4" s="5" t="s">
        <v>227</v>
      </c>
      <c r="H4" s="31">
        <v>3381</v>
      </c>
      <c r="I4" s="32">
        <f t="shared" ref="I4:I67" si="1">H4/500</f>
        <v>6.7619999999999996</v>
      </c>
      <c r="K4" s="22" t="s">
        <v>427</v>
      </c>
      <c r="L4" s="5" t="s">
        <v>428</v>
      </c>
      <c r="M4" s="31">
        <v>4125</v>
      </c>
      <c r="N4" s="37">
        <f t="shared" ref="N4:N67" si="2">M4/500</f>
        <v>8.25</v>
      </c>
      <c r="P4" s="22" t="s">
        <v>558</v>
      </c>
      <c r="Q4" s="5" t="s">
        <v>559</v>
      </c>
      <c r="R4" s="31">
        <v>11819</v>
      </c>
      <c r="S4" s="37">
        <f t="shared" ref="S4:S35" si="3">R4/500</f>
        <v>23.638000000000002</v>
      </c>
    </row>
    <row r="5" spans="1:19" x14ac:dyDescent="0.25">
      <c r="A5" s="22" t="s">
        <v>7</v>
      </c>
      <c r="B5" s="5" t="s">
        <v>8</v>
      </c>
      <c r="C5" s="31">
        <v>699</v>
      </c>
      <c r="D5" s="37">
        <f t="shared" si="0"/>
        <v>1.3979999999999999</v>
      </c>
      <c r="F5" s="22" t="s">
        <v>758</v>
      </c>
      <c r="G5" s="5" t="s">
        <v>229</v>
      </c>
      <c r="H5" s="31">
        <v>2028</v>
      </c>
      <c r="I5" s="32">
        <f t="shared" si="1"/>
        <v>4.056</v>
      </c>
      <c r="K5" s="22" t="s">
        <v>429</v>
      </c>
      <c r="L5" s="5" t="s">
        <v>430</v>
      </c>
      <c r="M5" s="31">
        <v>7411</v>
      </c>
      <c r="N5" s="37">
        <f t="shared" si="2"/>
        <v>14.821999999999999</v>
      </c>
      <c r="P5" s="22" t="s">
        <v>560</v>
      </c>
      <c r="Q5" s="5" t="s">
        <v>561</v>
      </c>
      <c r="R5" s="31">
        <v>3583</v>
      </c>
      <c r="S5" s="37">
        <f t="shared" si="3"/>
        <v>7.1660000000000004</v>
      </c>
    </row>
    <row r="6" spans="1:19" x14ac:dyDescent="0.25">
      <c r="A6" s="22" t="s">
        <v>3</v>
      </c>
      <c r="B6" s="5" t="s">
        <v>9</v>
      </c>
      <c r="C6" s="31">
        <v>2962</v>
      </c>
      <c r="D6" s="37">
        <f t="shared" si="0"/>
        <v>5.9240000000000004</v>
      </c>
      <c r="F6" s="22" t="s">
        <v>230</v>
      </c>
      <c r="G6" s="5" t="s">
        <v>231</v>
      </c>
      <c r="H6" s="31">
        <v>5622</v>
      </c>
      <c r="I6" s="32">
        <f t="shared" si="1"/>
        <v>11.244</v>
      </c>
      <c r="K6" s="22" t="s">
        <v>431</v>
      </c>
      <c r="L6" s="5" t="s">
        <v>432</v>
      </c>
      <c r="M6" s="31">
        <v>14031</v>
      </c>
      <c r="N6" s="37">
        <f t="shared" si="2"/>
        <v>28.062000000000001</v>
      </c>
      <c r="P6" s="22" t="s">
        <v>562</v>
      </c>
      <c r="Q6" s="5" t="s">
        <v>563</v>
      </c>
      <c r="R6" s="31">
        <v>2455</v>
      </c>
      <c r="S6" s="37">
        <f t="shared" si="3"/>
        <v>4.91</v>
      </c>
    </row>
    <row r="7" spans="1:19" x14ac:dyDescent="0.25">
      <c r="A7" s="22" t="s">
        <v>10</v>
      </c>
      <c r="B7" s="5" t="s">
        <v>11</v>
      </c>
      <c r="C7" s="31">
        <v>1576</v>
      </c>
      <c r="D7" s="37">
        <f t="shared" si="0"/>
        <v>3.1520000000000001</v>
      </c>
      <c r="F7" s="22" t="s">
        <v>635</v>
      </c>
      <c r="G7" s="5" t="s">
        <v>233</v>
      </c>
      <c r="H7" s="31">
        <v>5312</v>
      </c>
      <c r="I7" s="32">
        <f t="shared" si="1"/>
        <v>10.624000000000001</v>
      </c>
      <c r="K7" s="22" t="s">
        <v>433</v>
      </c>
      <c r="L7" s="5" t="s">
        <v>434</v>
      </c>
      <c r="M7" s="31">
        <v>999</v>
      </c>
      <c r="N7" s="37">
        <f t="shared" si="2"/>
        <v>1.998</v>
      </c>
      <c r="P7" s="22" t="s">
        <v>564</v>
      </c>
      <c r="Q7" s="5" t="s">
        <v>565</v>
      </c>
      <c r="R7" s="31">
        <v>4915</v>
      </c>
      <c r="S7" s="37">
        <f t="shared" si="3"/>
        <v>9.83</v>
      </c>
    </row>
    <row r="8" spans="1:19" x14ac:dyDescent="0.25">
      <c r="A8" s="22" t="s">
        <v>12</v>
      </c>
      <c r="B8" s="5" t="s">
        <v>13</v>
      </c>
      <c r="C8" s="31">
        <v>440</v>
      </c>
      <c r="D8" s="37">
        <f t="shared" si="0"/>
        <v>0.88</v>
      </c>
      <c r="F8" s="22" t="s">
        <v>636</v>
      </c>
      <c r="G8" s="5" t="s">
        <v>235</v>
      </c>
      <c r="H8" s="31">
        <v>5499</v>
      </c>
      <c r="I8" s="32">
        <f t="shared" si="1"/>
        <v>10.997999999999999</v>
      </c>
      <c r="K8" s="22" t="s">
        <v>435</v>
      </c>
      <c r="L8" s="5" t="s">
        <v>436</v>
      </c>
      <c r="M8" s="31">
        <v>3522</v>
      </c>
      <c r="N8" s="37">
        <f t="shared" si="2"/>
        <v>7.0439999999999996</v>
      </c>
      <c r="P8" s="22" t="s">
        <v>566</v>
      </c>
      <c r="Q8" s="5" t="s">
        <v>567</v>
      </c>
      <c r="R8" s="31">
        <v>1</v>
      </c>
      <c r="S8" s="37">
        <f t="shared" si="3"/>
        <v>2E-3</v>
      </c>
    </row>
    <row r="9" spans="1:19" x14ac:dyDescent="0.25">
      <c r="A9" s="22" t="s">
        <v>12</v>
      </c>
      <c r="B9" s="5" t="s">
        <v>218</v>
      </c>
      <c r="C9" s="31">
        <v>312</v>
      </c>
      <c r="D9" s="37">
        <f t="shared" si="0"/>
        <v>0.624</v>
      </c>
      <c r="F9" s="22" t="s">
        <v>637</v>
      </c>
      <c r="G9" s="5" t="s">
        <v>237</v>
      </c>
      <c r="H9" s="31">
        <v>3832</v>
      </c>
      <c r="I9" s="32">
        <f t="shared" si="1"/>
        <v>7.6639999999999997</v>
      </c>
      <c r="K9" s="22" t="s">
        <v>437</v>
      </c>
      <c r="L9" s="5" t="s">
        <v>438</v>
      </c>
      <c r="M9" s="31">
        <v>1971</v>
      </c>
      <c r="N9" s="37">
        <f t="shared" si="2"/>
        <v>3.9420000000000002</v>
      </c>
      <c r="P9" s="22" t="s">
        <v>568</v>
      </c>
      <c r="Q9" s="5" t="s">
        <v>569</v>
      </c>
      <c r="R9" s="31">
        <v>3345</v>
      </c>
      <c r="S9" s="37">
        <f t="shared" si="3"/>
        <v>6.69</v>
      </c>
    </row>
    <row r="10" spans="1:19" x14ac:dyDescent="0.25">
      <c r="A10" s="22" t="s">
        <v>14</v>
      </c>
      <c r="B10" s="5" t="s">
        <v>15</v>
      </c>
      <c r="C10" s="31">
        <v>1981</v>
      </c>
      <c r="D10" s="37">
        <f t="shared" si="0"/>
        <v>3.9620000000000002</v>
      </c>
      <c r="F10" s="22" t="s">
        <v>638</v>
      </c>
      <c r="G10" s="5" t="s">
        <v>239</v>
      </c>
      <c r="H10" s="31">
        <v>6222</v>
      </c>
      <c r="I10" s="32">
        <f t="shared" si="1"/>
        <v>12.444000000000001</v>
      </c>
      <c r="K10" s="22" t="s">
        <v>439</v>
      </c>
      <c r="L10" s="5" t="s">
        <v>440</v>
      </c>
      <c r="M10" s="31">
        <v>100</v>
      </c>
      <c r="N10" s="37">
        <f t="shared" si="2"/>
        <v>0.2</v>
      </c>
      <c r="P10" s="22" t="s">
        <v>570</v>
      </c>
      <c r="Q10" s="5" t="s">
        <v>571</v>
      </c>
      <c r="R10" s="31">
        <v>3413</v>
      </c>
      <c r="S10" s="37">
        <f t="shared" si="3"/>
        <v>6.8259999999999996</v>
      </c>
    </row>
    <row r="11" spans="1:19" x14ac:dyDescent="0.25">
      <c r="A11" s="22" t="s">
        <v>16</v>
      </c>
      <c r="B11" s="5" t="s">
        <v>17</v>
      </c>
      <c r="C11" s="31">
        <v>410</v>
      </c>
      <c r="D11" s="37">
        <f t="shared" si="0"/>
        <v>0.82</v>
      </c>
      <c r="F11" s="22" t="s">
        <v>639</v>
      </c>
      <c r="G11" s="5" t="s">
        <v>241</v>
      </c>
      <c r="H11" s="31">
        <v>2224</v>
      </c>
      <c r="I11" s="32">
        <f t="shared" si="1"/>
        <v>4.4480000000000004</v>
      </c>
      <c r="K11" s="22" t="s">
        <v>441</v>
      </c>
      <c r="L11" s="5" t="s">
        <v>442</v>
      </c>
      <c r="M11" s="31">
        <v>1544</v>
      </c>
      <c r="N11" s="37">
        <f t="shared" si="2"/>
        <v>3.0880000000000001</v>
      </c>
      <c r="P11" s="22" t="s">
        <v>572</v>
      </c>
      <c r="Q11" s="5" t="s">
        <v>573</v>
      </c>
      <c r="R11" s="31">
        <v>4493</v>
      </c>
      <c r="S11" s="37">
        <f t="shared" si="3"/>
        <v>8.9860000000000007</v>
      </c>
    </row>
    <row r="12" spans="1:19" x14ac:dyDescent="0.25">
      <c r="A12" s="22" t="s">
        <v>18</v>
      </c>
      <c r="B12" s="5" t="s">
        <v>19</v>
      </c>
      <c r="C12" s="31">
        <v>2725</v>
      </c>
      <c r="D12" s="37">
        <f t="shared" si="0"/>
        <v>5.45</v>
      </c>
      <c r="F12" s="22" t="s">
        <v>640</v>
      </c>
      <c r="G12" s="5" t="s">
        <v>641</v>
      </c>
      <c r="H12" s="31">
        <v>6538</v>
      </c>
      <c r="I12" s="32">
        <f t="shared" si="1"/>
        <v>13.076000000000001</v>
      </c>
      <c r="K12" s="22" t="s">
        <v>443</v>
      </c>
      <c r="L12" s="5" t="s">
        <v>444</v>
      </c>
      <c r="M12" s="31">
        <v>1238</v>
      </c>
      <c r="N12" s="37">
        <f t="shared" si="2"/>
        <v>2.476</v>
      </c>
      <c r="P12" s="22" t="s">
        <v>574</v>
      </c>
      <c r="Q12" s="5" t="s">
        <v>575</v>
      </c>
      <c r="R12" s="31">
        <v>13043</v>
      </c>
      <c r="S12" s="37">
        <f t="shared" si="3"/>
        <v>26.085999999999999</v>
      </c>
    </row>
    <row r="13" spans="1:19" x14ac:dyDescent="0.25">
      <c r="A13" s="22" t="s">
        <v>20</v>
      </c>
      <c r="B13" s="5" t="s">
        <v>21</v>
      </c>
      <c r="C13" s="31">
        <v>1191</v>
      </c>
      <c r="D13" s="37">
        <f t="shared" si="0"/>
        <v>2.3820000000000001</v>
      </c>
      <c r="F13" s="22" t="s">
        <v>642</v>
      </c>
      <c r="G13" s="5" t="s">
        <v>243</v>
      </c>
      <c r="H13" s="31">
        <v>707</v>
      </c>
      <c r="I13" s="32">
        <f t="shared" si="1"/>
        <v>1.4139999999999999</v>
      </c>
      <c r="K13" s="22" t="s">
        <v>445</v>
      </c>
      <c r="L13" s="5" t="s">
        <v>446</v>
      </c>
      <c r="M13" s="31">
        <v>1074</v>
      </c>
      <c r="N13" s="37">
        <f t="shared" si="2"/>
        <v>2.1480000000000001</v>
      </c>
      <c r="P13" s="22" t="s">
        <v>576</v>
      </c>
      <c r="Q13" s="5" t="s">
        <v>577</v>
      </c>
      <c r="R13" s="31">
        <v>8624</v>
      </c>
      <c r="S13" s="37">
        <f t="shared" si="3"/>
        <v>17.248000000000001</v>
      </c>
    </row>
    <row r="14" spans="1:19" x14ac:dyDescent="0.25">
      <c r="A14" s="22" t="s">
        <v>22</v>
      </c>
      <c r="B14" s="5" t="s">
        <v>23</v>
      </c>
      <c r="C14" s="31">
        <v>7666</v>
      </c>
      <c r="D14" s="37">
        <f t="shared" si="0"/>
        <v>15.332000000000001</v>
      </c>
      <c r="F14" s="22" t="s">
        <v>643</v>
      </c>
      <c r="G14" s="5" t="s">
        <v>244</v>
      </c>
      <c r="H14" s="31">
        <v>3251</v>
      </c>
      <c r="I14" s="32">
        <f t="shared" si="1"/>
        <v>6.5019999999999998</v>
      </c>
      <c r="K14" s="22" t="s">
        <v>447</v>
      </c>
      <c r="L14" s="5" t="s">
        <v>448</v>
      </c>
      <c r="M14" s="31">
        <v>1270</v>
      </c>
      <c r="N14" s="37">
        <f t="shared" si="2"/>
        <v>2.54</v>
      </c>
      <c r="P14" s="22" t="s">
        <v>578</v>
      </c>
      <c r="Q14" s="5" t="s">
        <v>579</v>
      </c>
      <c r="R14" s="31">
        <v>9140</v>
      </c>
      <c r="S14" s="37">
        <f t="shared" si="3"/>
        <v>18.28</v>
      </c>
    </row>
    <row r="15" spans="1:19" x14ac:dyDescent="0.25">
      <c r="A15" s="22" t="s">
        <v>24</v>
      </c>
      <c r="B15" s="5" t="s">
        <v>25</v>
      </c>
      <c r="C15" s="31">
        <v>1913</v>
      </c>
      <c r="D15" s="37">
        <f t="shared" si="0"/>
        <v>3.8260000000000001</v>
      </c>
      <c r="F15" s="22" t="s">
        <v>644</v>
      </c>
      <c r="G15" s="5" t="s">
        <v>246</v>
      </c>
      <c r="H15" s="31">
        <v>4721</v>
      </c>
      <c r="I15" s="32">
        <f t="shared" si="1"/>
        <v>9.4420000000000002</v>
      </c>
      <c r="K15" s="22" t="s">
        <v>449</v>
      </c>
      <c r="L15" s="5" t="s">
        <v>450</v>
      </c>
      <c r="M15" s="31">
        <v>0</v>
      </c>
      <c r="N15" s="37">
        <f t="shared" si="2"/>
        <v>0</v>
      </c>
      <c r="P15" s="22" t="s">
        <v>580</v>
      </c>
      <c r="Q15" s="5" t="s">
        <v>581</v>
      </c>
      <c r="R15" s="31">
        <v>4401</v>
      </c>
      <c r="S15" s="37">
        <f t="shared" si="3"/>
        <v>8.8019999999999996</v>
      </c>
    </row>
    <row r="16" spans="1:19" x14ac:dyDescent="0.25">
      <c r="A16" s="22" t="s">
        <v>26</v>
      </c>
      <c r="B16" s="5" t="s">
        <v>27</v>
      </c>
      <c r="C16" s="31">
        <v>314</v>
      </c>
      <c r="D16" s="37">
        <f t="shared" si="0"/>
        <v>0.628</v>
      </c>
      <c r="F16" s="22" t="s">
        <v>645</v>
      </c>
      <c r="G16" s="5" t="s">
        <v>248</v>
      </c>
      <c r="H16" s="31">
        <v>4649</v>
      </c>
      <c r="I16" s="32">
        <f t="shared" si="1"/>
        <v>9.298</v>
      </c>
      <c r="K16" s="22" t="s">
        <v>451</v>
      </c>
      <c r="L16" s="5" t="s">
        <v>452</v>
      </c>
      <c r="M16" s="31">
        <v>2248</v>
      </c>
      <c r="N16" s="37">
        <f t="shared" si="2"/>
        <v>4.4960000000000004</v>
      </c>
      <c r="P16" s="22" t="s">
        <v>582</v>
      </c>
      <c r="Q16" s="5" t="s">
        <v>583</v>
      </c>
      <c r="R16" s="31">
        <v>7718</v>
      </c>
      <c r="S16" s="37">
        <f t="shared" si="3"/>
        <v>15.436</v>
      </c>
    </row>
    <row r="17" spans="1:19" x14ac:dyDescent="0.25">
      <c r="A17" s="22" t="s">
        <v>22</v>
      </c>
      <c r="B17" s="5" t="s">
        <v>28</v>
      </c>
      <c r="C17" s="31">
        <v>1220</v>
      </c>
      <c r="D17" s="37">
        <f t="shared" si="0"/>
        <v>2.44</v>
      </c>
      <c r="F17" s="22" t="s">
        <v>646</v>
      </c>
      <c r="G17" s="5" t="s">
        <v>250</v>
      </c>
      <c r="H17" s="31">
        <v>6488</v>
      </c>
      <c r="I17" s="32">
        <f t="shared" si="1"/>
        <v>12.976000000000001</v>
      </c>
      <c r="K17" s="22" t="s">
        <v>453</v>
      </c>
      <c r="L17" s="5" t="s">
        <v>454</v>
      </c>
      <c r="M17" s="31">
        <v>9035</v>
      </c>
      <c r="N17" s="37">
        <f t="shared" si="2"/>
        <v>18.07</v>
      </c>
      <c r="P17" s="22" t="s">
        <v>584</v>
      </c>
      <c r="Q17" s="5" t="s">
        <v>585</v>
      </c>
      <c r="R17" s="31">
        <v>6075</v>
      </c>
      <c r="S17" s="37">
        <f t="shared" si="3"/>
        <v>12.15</v>
      </c>
    </row>
    <row r="18" spans="1:19" x14ac:dyDescent="0.25">
      <c r="A18" s="22" t="s">
        <v>29</v>
      </c>
      <c r="B18" s="5" t="s">
        <v>30</v>
      </c>
      <c r="C18" s="31">
        <v>1376</v>
      </c>
      <c r="D18" s="37">
        <f t="shared" si="0"/>
        <v>2.7519999999999998</v>
      </c>
      <c r="F18" s="22" t="s">
        <v>647</v>
      </c>
      <c r="G18" s="5" t="s">
        <v>252</v>
      </c>
      <c r="H18" s="31">
        <v>0</v>
      </c>
      <c r="I18" s="32">
        <f t="shared" si="1"/>
        <v>0</v>
      </c>
      <c r="K18" s="22" t="s">
        <v>453</v>
      </c>
      <c r="L18" s="5" t="s">
        <v>455</v>
      </c>
      <c r="M18" s="31">
        <v>5378</v>
      </c>
      <c r="N18" s="37">
        <f t="shared" si="2"/>
        <v>10.756</v>
      </c>
      <c r="P18" s="22" t="s">
        <v>586</v>
      </c>
      <c r="Q18" s="5" t="s">
        <v>587</v>
      </c>
      <c r="R18" s="31">
        <v>3434</v>
      </c>
      <c r="S18" s="37">
        <f t="shared" si="3"/>
        <v>6.8680000000000003</v>
      </c>
    </row>
    <row r="19" spans="1:19" x14ac:dyDescent="0.25">
      <c r="A19" s="22" t="s">
        <v>31</v>
      </c>
      <c r="B19" s="5" t="s">
        <v>32</v>
      </c>
      <c r="C19" s="31">
        <v>3617</v>
      </c>
      <c r="D19" s="37">
        <f t="shared" si="0"/>
        <v>7.234</v>
      </c>
      <c r="F19" s="22" t="s">
        <v>648</v>
      </c>
      <c r="G19" s="5" t="s">
        <v>254</v>
      </c>
      <c r="H19" s="31">
        <v>2371</v>
      </c>
      <c r="I19" s="32">
        <f t="shared" si="1"/>
        <v>4.742</v>
      </c>
      <c r="K19" s="22" t="s">
        <v>456</v>
      </c>
      <c r="L19" s="5" t="s">
        <v>457</v>
      </c>
      <c r="M19" s="31">
        <v>24164</v>
      </c>
      <c r="N19" s="37">
        <f t="shared" si="2"/>
        <v>48.328000000000003</v>
      </c>
      <c r="P19" s="22" t="s">
        <v>588</v>
      </c>
      <c r="Q19" s="5" t="s">
        <v>589</v>
      </c>
      <c r="R19" s="31">
        <v>7815</v>
      </c>
      <c r="S19" s="37">
        <f t="shared" si="3"/>
        <v>15.63</v>
      </c>
    </row>
    <row r="20" spans="1:19" x14ac:dyDescent="0.25">
      <c r="A20" s="22" t="s">
        <v>33</v>
      </c>
      <c r="B20" s="5" t="s">
        <v>34</v>
      </c>
      <c r="C20" s="31">
        <v>2384</v>
      </c>
      <c r="D20" s="37">
        <f t="shared" si="0"/>
        <v>4.7679999999999998</v>
      </c>
      <c r="F20" s="22" t="s">
        <v>649</v>
      </c>
      <c r="G20" s="5" t="s">
        <v>256</v>
      </c>
      <c r="H20" s="31">
        <v>1337</v>
      </c>
      <c r="I20" s="32">
        <f t="shared" si="1"/>
        <v>2.6739999999999999</v>
      </c>
      <c r="K20" s="22" t="s">
        <v>458</v>
      </c>
      <c r="L20" s="5" t="s">
        <v>459</v>
      </c>
      <c r="M20" s="31">
        <v>16363</v>
      </c>
      <c r="N20" s="37">
        <f t="shared" si="2"/>
        <v>32.725999999999999</v>
      </c>
      <c r="P20" s="22" t="s">
        <v>590</v>
      </c>
      <c r="Q20" s="5" t="s">
        <v>591</v>
      </c>
      <c r="R20" s="31">
        <v>2481</v>
      </c>
      <c r="S20" s="37">
        <f t="shared" si="3"/>
        <v>4.9619999999999997</v>
      </c>
    </row>
    <row r="21" spans="1:19" x14ac:dyDescent="0.25">
      <c r="A21" s="22" t="s">
        <v>35</v>
      </c>
      <c r="B21" s="5" t="s">
        <v>36</v>
      </c>
      <c r="C21" s="31">
        <v>4712</v>
      </c>
      <c r="D21" s="37">
        <f t="shared" si="0"/>
        <v>9.4239999999999995</v>
      </c>
      <c r="F21" s="22" t="s">
        <v>650</v>
      </c>
      <c r="G21" s="5" t="s">
        <v>258</v>
      </c>
      <c r="H21" s="31">
        <v>1572</v>
      </c>
      <c r="I21" s="32">
        <f t="shared" si="1"/>
        <v>3.1440000000000001</v>
      </c>
      <c r="K21" s="22" t="s">
        <v>460</v>
      </c>
      <c r="L21" s="5" t="s">
        <v>461</v>
      </c>
      <c r="M21" s="31">
        <v>22515</v>
      </c>
      <c r="N21" s="37">
        <f t="shared" si="2"/>
        <v>45.03</v>
      </c>
      <c r="P21" s="22" t="s">
        <v>592</v>
      </c>
      <c r="Q21" s="5" t="s">
        <v>593</v>
      </c>
      <c r="R21" s="31">
        <v>2470</v>
      </c>
      <c r="S21" s="37">
        <f t="shared" si="3"/>
        <v>4.9400000000000004</v>
      </c>
    </row>
    <row r="22" spans="1:19" x14ac:dyDescent="0.25">
      <c r="A22" s="22" t="s">
        <v>35</v>
      </c>
      <c r="B22" s="5" t="s">
        <v>37</v>
      </c>
      <c r="C22" s="31">
        <v>1858</v>
      </c>
      <c r="D22" s="37">
        <f t="shared" si="0"/>
        <v>3.7160000000000002</v>
      </c>
      <c r="F22" s="22" t="s">
        <v>651</v>
      </c>
      <c r="G22" s="5" t="s">
        <v>260</v>
      </c>
      <c r="H22" s="31">
        <v>1843</v>
      </c>
      <c r="I22" s="32">
        <f t="shared" si="1"/>
        <v>3.6859999999999999</v>
      </c>
      <c r="K22" s="22" t="s">
        <v>462</v>
      </c>
      <c r="L22" s="5" t="s">
        <v>463</v>
      </c>
      <c r="M22" s="31">
        <v>22690</v>
      </c>
      <c r="N22" s="37">
        <f t="shared" si="2"/>
        <v>45.38</v>
      </c>
      <c r="P22" s="22" t="s">
        <v>594</v>
      </c>
      <c r="Q22" s="5" t="s">
        <v>595</v>
      </c>
      <c r="R22" s="31">
        <v>5981</v>
      </c>
      <c r="S22" s="37">
        <f t="shared" si="3"/>
        <v>11.962</v>
      </c>
    </row>
    <row r="23" spans="1:19" x14ac:dyDescent="0.25">
      <c r="A23" s="22" t="s">
        <v>38</v>
      </c>
      <c r="B23" s="5" t="s">
        <v>39</v>
      </c>
      <c r="C23" s="31">
        <v>8498</v>
      </c>
      <c r="D23" s="37">
        <f t="shared" si="0"/>
        <v>16.995999999999999</v>
      </c>
      <c r="F23" s="22" t="s">
        <v>652</v>
      </c>
      <c r="G23" s="5" t="s">
        <v>262</v>
      </c>
      <c r="H23" s="31">
        <v>4231</v>
      </c>
      <c r="I23" s="32">
        <f t="shared" si="1"/>
        <v>8.4619999999999997</v>
      </c>
      <c r="K23" s="22" t="s">
        <v>464</v>
      </c>
      <c r="L23" s="5" t="s">
        <v>465</v>
      </c>
      <c r="M23" s="31">
        <v>19074</v>
      </c>
      <c r="N23" s="37">
        <f t="shared" si="2"/>
        <v>38.148000000000003</v>
      </c>
      <c r="P23" s="22" t="s">
        <v>596</v>
      </c>
      <c r="Q23" s="5" t="s">
        <v>597</v>
      </c>
      <c r="R23" s="31">
        <v>4605</v>
      </c>
      <c r="S23" s="37">
        <f t="shared" si="3"/>
        <v>9.2100000000000009</v>
      </c>
    </row>
    <row r="24" spans="1:19" x14ac:dyDescent="0.25">
      <c r="A24" s="22" t="s">
        <v>40</v>
      </c>
      <c r="B24" s="5" t="s">
        <v>41</v>
      </c>
      <c r="C24" s="31">
        <v>14589</v>
      </c>
      <c r="D24" s="37">
        <f t="shared" si="0"/>
        <v>29.178000000000001</v>
      </c>
      <c r="F24" s="22" t="s">
        <v>653</v>
      </c>
      <c r="G24" s="5" t="s">
        <v>264</v>
      </c>
      <c r="H24" s="31">
        <v>13786</v>
      </c>
      <c r="I24" s="32">
        <f t="shared" si="1"/>
        <v>27.571999999999999</v>
      </c>
      <c r="K24" s="22" t="s">
        <v>466</v>
      </c>
      <c r="L24" s="5" t="s">
        <v>467</v>
      </c>
      <c r="M24" s="31">
        <v>30195</v>
      </c>
      <c r="N24" s="37">
        <f t="shared" si="2"/>
        <v>60.39</v>
      </c>
      <c r="P24" s="22" t="s">
        <v>598</v>
      </c>
      <c r="Q24" s="5" t="s">
        <v>599</v>
      </c>
      <c r="R24" s="31">
        <v>1356</v>
      </c>
      <c r="S24" s="37">
        <f t="shared" si="3"/>
        <v>2.7120000000000002</v>
      </c>
    </row>
    <row r="25" spans="1:19" x14ac:dyDescent="0.25">
      <c r="A25" s="22" t="s">
        <v>42</v>
      </c>
      <c r="B25" s="5" t="s">
        <v>43</v>
      </c>
      <c r="C25" s="31">
        <v>737</v>
      </c>
      <c r="D25" s="37">
        <f t="shared" si="0"/>
        <v>1.474</v>
      </c>
      <c r="F25" s="22" t="s">
        <v>654</v>
      </c>
      <c r="G25" s="5" t="s">
        <v>266</v>
      </c>
      <c r="H25" s="31">
        <v>2500</v>
      </c>
      <c r="I25" s="32">
        <f t="shared" si="1"/>
        <v>5</v>
      </c>
      <c r="K25" s="22" t="s">
        <v>468</v>
      </c>
      <c r="L25" s="5" t="s">
        <v>469</v>
      </c>
      <c r="M25" s="31">
        <v>27754</v>
      </c>
      <c r="N25" s="37">
        <f t="shared" si="2"/>
        <v>55.508000000000003</v>
      </c>
      <c r="P25" s="22" t="s">
        <v>600</v>
      </c>
      <c r="Q25" s="5" t="s">
        <v>601</v>
      </c>
      <c r="R25" s="31">
        <v>8125</v>
      </c>
      <c r="S25" s="37">
        <f t="shared" si="3"/>
        <v>16.25</v>
      </c>
    </row>
    <row r="26" spans="1:19" x14ac:dyDescent="0.25">
      <c r="A26" s="22" t="s">
        <v>44</v>
      </c>
      <c r="B26" s="5" t="s">
        <v>45</v>
      </c>
      <c r="C26" s="31">
        <v>2697</v>
      </c>
      <c r="D26" s="37">
        <f t="shared" si="0"/>
        <v>5.3940000000000001</v>
      </c>
      <c r="F26" s="22" t="s">
        <v>655</v>
      </c>
      <c r="G26" s="5" t="s">
        <v>268</v>
      </c>
      <c r="H26" s="31">
        <v>17264</v>
      </c>
      <c r="I26" s="32">
        <f t="shared" si="1"/>
        <v>34.527999999999999</v>
      </c>
      <c r="K26" s="22" t="s">
        <v>470</v>
      </c>
      <c r="L26" s="5" t="s">
        <v>471</v>
      </c>
      <c r="M26" s="31">
        <v>20210</v>
      </c>
      <c r="N26" s="37">
        <f t="shared" si="2"/>
        <v>40.42</v>
      </c>
      <c r="P26" s="22" t="s">
        <v>602</v>
      </c>
      <c r="Q26" s="5" t="s">
        <v>603</v>
      </c>
      <c r="R26" s="31">
        <v>5503</v>
      </c>
      <c r="S26" s="37">
        <f t="shared" si="3"/>
        <v>11.006</v>
      </c>
    </row>
    <row r="27" spans="1:19" x14ac:dyDescent="0.25">
      <c r="A27" s="22" t="s">
        <v>46</v>
      </c>
      <c r="B27" s="5" t="s">
        <v>47</v>
      </c>
      <c r="C27" s="31">
        <v>406</v>
      </c>
      <c r="D27" s="37">
        <f t="shared" si="0"/>
        <v>0.81200000000000006</v>
      </c>
      <c r="F27" s="22" t="s">
        <v>656</v>
      </c>
      <c r="G27" s="5" t="s">
        <v>270</v>
      </c>
      <c r="H27" s="31">
        <v>10827</v>
      </c>
      <c r="I27" s="32">
        <f t="shared" si="1"/>
        <v>21.654</v>
      </c>
      <c r="K27" s="22" t="s">
        <v>472</v>
      </c>
      <c r="L27" s="5" t="s">
        <v>473</v>
      </c>
      <c r="M27" s="31">
        <v>24002</v>
      </c>
      <c r="N27" s="37">
        <f t="shared" si="2"/>
        <v>48.003999999999998</v>
      </c>
      <c r="P27" s="22" t="s">
        <v>604</v>
      </c>
      <c r="Q27" s="5" t="s">
        <v>605</v>
      </c>
      <c r="R27" s="31">
        <v>10263</v>
      </c>
      <c r="S27" s="37">
        <f t="shared" si="3"/>
        <v>20.526</v>
      </c>
    </row>
    <row r="28" spans="1:19" x14ac:dyDescent="0.25">
      <c r="A28" s="22" t="s">
        <v>48</v>
      </c>
      <c r="B28" s="5" t="s">
        <v>49</v>
      </c>
      <c r="C28" s="31">
        <v>1994</v>
      </c>
      <c r="D28" s="37">
        <f t="shared" si="0"/>
        <v>3.988</v>
      </c>
      <c r="F28" s="22" t="s">
        <v>657</v>
      </c>
      <c r="G28" s="5" t="s">
        <v>272</v>
      </c>
      <c r="H28" s="31">
        <v>4126</v>
      </c>
      <c r="I28" s="32">
        <f t="shared" si="1"/>
        <v>8.2520000000000007</v>
      </c>
      <c r="K28" s="22" t="s">
        <v>474</v>
      </c>
      <c r="L28" s="5" t="s">
        <v>475</v>
      </c>
      <c r="M28" s="31">
        <v>10766</v>
      </c>
      <c r="N28" s="37">
        <f t="shared" si="2"/>
        <v>21.532</v>
      </c>
      <c r="P28" s="22" t="s">
        <v>606</v>
      </c>
      <c r="Q28" s="5" t="s">
        <v>607</v>
      </c>
      <c r="R28" s="31">
        <v>5937</v>
      </c>
      <c r="S28" s="37">
        <f t="shared" si="3"/>
        <v>11.874000000000001</v>
      </c>
    </row>
    <row r="29" spans="1:19" x14ac:dyDescent="0.25">
      <c r="A29" s="22" t="s">
        <v>5</v>
      </c>
      <c r="B29" s="5" t="s">
        <v>50</v>
      </c>
      <c r="C29" s="31">
        <v>6251</v>
      </c>
      <c r="D29" s="37">
        <f t="shared" si="0"/>
        <v>12.502000000000001</v>
      </c>
      <c r="F29" s="22" t="s">
        <v>658</v>
      </c>
      <c r="G29" s="5" t="s">
        <v>274</v>
      </c>
      <c r="H29" s="31">
        <v>11399</v>
      </c>
      <c r="I29" s="32">
        <f t="shared" si="1"/>
        <v>22.797999999999998</v>
      </c>
      <c r="K29" s="22" t="s">
        <v>476</v>
      </c>
      <c r="L29" s="5" t="s">
        <v>477</v>
      </c>
      <c r="M29" s="31">
        <v>7865</v>
      </c>
      <c r="N29" s="37">
        <f t="shared" si="2"/>
        <v>15.73</v>
      </c>
      <c r="P29" s="22" t="s">
        <v>608</v>
      </c>
      <c r="Q29" s="5" t="s">
        <v>219</v>
      </c>
      <c r="R29" s="31">
        <v>3988</v>
      </c>
      <c r="S29" s="37">
        <f t="shared" si="3"/>
        <v>7.976</v>
      </c>
    </row>
    <row r="30" spans="1:19" x14ac:dyDescent="0.25">
      <c r="A30" s="22" t="s">
        <v>51</v>
      </c>
      <c r="B30" s="5" t="s">
        <v>52</v>
      </c>
      <c r="C30" s="31">
        <v>5318</v>
      </c>
      <c r="D30" s="37">
        <f t="shared" si="0"/>
        <v>10.635999999999999</v>
      </c>
      <c r="F30" s="22" t="s">
        <v>659</v>
      </c>
      <c r="G30" s="5" t="s">
        <v>276</v>
      </c>
      <c r="H30" s="31">
        <v>14748</v>
      </c>
      <c r="I30" s="32">
        <f t="shared" si="1"/>
        <v>29.495999999999999</v>
      </c>
      <c r="K30" s="22" t="s">
        <v>478</v>
      </c>
      <c r="L30" s="5" t="s">
        <v>479</v>
      </c>
      <c r="M30" s="31">
        <v>17239</v>
      </c>
      <c r="N30" s="37">
        <f t="shared" si="2"/>
        <v>34.478000000000002</v>
      </c>
      <c r="P30" s="22" t="s">
        <v>608</v>
      </c>
      <c r="Q30" s="5" t="s">
        <v>13</v>
      </c>
      <c r="R30" s="31">
        <v>1</v>
      </c>
      <c r="S30" s="37">
        <f t="shared" si="3"/>
        <v>2E-3</v>
      </c>
    </row>
    <row r="31" spans="1:19" x14ac:dyDescent="0.25">
      <c r="A31" s="22" t="s">
        <v>53</v>
      </c>
      <c r="B31" s="5" t="s">
        <v>54</v>
      </c>
      <c r="C31" s="31">
        <v>4693</v>
      </c>
      <c r="D31" s="37">
        <f t="shared" si="0"/>
        <v>9.3859999999999992</v>
      </c>
      <c r="F31" s="22" t="s">
        <v>660</v>
      </c>
      <c r="G31" s="5" t="s">
        <v>278</v>
      </c>
      <c r="H31" s="31">
        <v>8056</v>
      </c>
      <c r="I31" s="32">
        <f t="shared" si="1"/>
        <v>16.111999999999998</v>
      </c>
      <c r="K31" s="22" t="s">
        <v>480</v>
      </c>
      <c r="L31" s="5" t="s">
        <v>481</v>
      </c>
      <c r="M31" s="31">
        <v>7111</v>
      </c>
      <c r="N31" s="37">
        <f t="shared" si="2"/>
        <v>14.222</v>
      </c>
      <c r="P31" s="22" t="s">
        <v>609</v>
      </c>
      <c r="Q31" s="5" t="s">
        <v>610</v>
      </c>
      <c r="R31" s="31">
        <v>3758</v>
      </c>
      <c r="S31" s="37">
        <f t="shared" si="3"/>
        <v>7.516</v>
      </c>
    </row>
    <row r="32" spans="1:19" x14ac:dyDescent="0.25">
      <c r="A32" s="22" t="s">
        <v>55</v>
      </c>
      <c r="B32" s="5" t="s">
        <v>56</v>
      </c>
      <c r="C32" s="31">
        <v>392</v>
      </c>
      <c r="D32" s="37">
        <f t="shared" si="0"/>
        <v>0.78400000000000003</v>
      </c>
      <c r="F32" s="22" t="s">
        <v>661</v>
      </c>
      <c r="G32" s="5" t="s">
        <v>282</v>
      </c>
      <c r="H32" s="31">
        <v>1684</v>
      </c>
      <c r="I32" s="32">
        <f t="shared" si="1"/>
        <v>3.3679999999999999</v>
      </c>
      <c r="K32" s="22" t="s">
        <v>482</v>
      </c>
      <c r="L32" s="5" t="s">
        <v>483</v>
      </c>
      <c r="M32" s="31">
        <v>20331</v>
      </c>
      <c r="N32" s="37">
        <f t="shared" si="2"/>
        <v>40.661999999999999</v>
      </c>
      <c r="P32" s="22" t="s">
        <v>611</v>
      </c>
      <c r="Q32" s="5" t="s">
        <v>612</v>
      </c>
      <c r="R32" s="31">
        <v>5508</v>
      </c>
      <c r="S32" s="37">
        <f t="shared" si="3"/>
        <v>11.016</v>
      </c>
    </row>
    <row r="33" spans="1:19" x14ac:dyDescent="0.25">
      <c r="A33" s="22" t="s">
        <v>57</v>
      </c>
      <c r="B33" s="5" t="s">
        <v>58</v>
      </c>
      <c r="C33" s="31">
        <v>5535</v>
      </c>
      <c r="D33" s="37">
        <f t="shared" si="0"/>
        <v>11.07</v>
      </c>
      <c r="F33" s="22" t="s">
        <v>662</v>
      </c>
      <c r="G33" s="5" t="s">
        <v>284</v>
      </c>
      <c r="H33" s="31">
        <v>1771</v>
      </c>
      <c r="I33" s="32">
        <f t="shared" si="1"/>
        <v>3.5419999999999998</v>
      </c>
      <c r="K33" s="22" t="s">
        <v>484</v>
      </c>
      <c r="L33" s="5" t="s">
        <v>485</v>
      </c>
      <c r="M33" s="31">
        <v>15156</v>
      </c>
      <c r="N33" s="37">
        <f t="shared" si="2"/>
        <v>30.312000000000001</v>
      </c>
      <c r="P33" s="22" t="s">
        <v>613</v>
      </c>
      <c r="Q33" s="5" t="s">
        <v>614</v>
      </c>
      <c r="R33" s="31">
        <v>5233</v>
      </c>
      <c r="S33" s="37">
        <f t="shared" si="3"/>
        <v>10.465999999999999</v>
      </c>
    </row>
    <row r="34" spans="1:19" x14ac:dyDescent="0.25">
      <c r="A34" s="22" t="s">
        <v>59</v>
      </c>
      <c r="B34" s="5" t="s">
        <v>60</v>
      </c>
      <c r="C34" s="31">
        <v>686</v>
      </c>
      <c r="D34" s="37">
        <f t="shared" si="0"/>
        <v>1.3720000000000001</v>
      </c>
      <c r="F34" s="22" t="s">
        <v>663</v>
      </c>
      <c r="G34" s="5" t="s">
        <v>286</v>
      </c>
      <c r="H34" s="31">
        <v>3575</v>
      </c>
      <c r="I34" s="32">
        <f t="shared" si="1"/>
        <v>7.15</v>
      </c>
      <c r="K34" s="22" t="s">
        <v>486</v>
      </c>
      <c r="L34" s="5" t="s">
        <v>487</v>
      </c>
      <c r="M34" s="31">
        <v>27823</v>
      </c>
      <c r="N34" s="37">
        <f t="shared" si="2"/>
        <v>55.646000000000001</v>
      </c>
      <c r="P34" s="22" t="s">
        <v>615</v>
      </c>
      <c r="Q34" s="5" t="s">
        <v>616</v>
      </c>
      <c r="R34" s="31">
        <v>5475</v>
      </c>
      <c r="S34" s="37">
        <f t="shared" si="3"/>
        <v>10.95</v>
      </c>
    </row>
    <row r="35" spans="1:19" ht="15.75" thickBot="1" x14ac:dyDescent="0.3">
      <c r="A35" s="22" t="s">
        <v>61</v>
      </c>
      <c r="B35" s="5" t="s">
        <v>62</v>
      </c>
      <c r="C35" s="31">
        <v>327</v>
      </c>
      <c r="D35" s="37">
        <f t="shared" si="0"/>
        <v>0.65400000000000003</v>
      </c>
      <c r="F35" s="22" t="s">
        <v>664</v>
      </c>
      <c r="G35" s="5" t="s">
        <v>288</v>
      </c>
      <c r="H35" s="31">
        <v>6246</v>
      </c>
      <c r="I35" s="32">
        <f t="shared" si="1"/>
        <v>12.492000000000001</v>
      </c>
      <c r="K35" s="22" t="s">
        <v>488</v>
      </c>
      <c r="L35" s="5" t="s">
        <v>489</v>
      </c>
      <c r="M35" s="31">
        <v>5000</v>
      </c>
      <c r="N35" s="37">
        <f t="shared" si="2"/>
        <v>10</v>
      </c>
      <c r="P35" s="23" t="s">
        <v>617</v>
      </c>
      <c r="Q35" s="24" t="s">
        <v>618</v>
      </c>
      <c r="R35" s="33">
        <v>11249</v>
      </c>
      <c r="S35" s="38">
        <f t="shared" si="3"/>
        <v>22.498000000000001</v>
      </c>
    </row>
    <row r="36" spans="1:19" x14ac:dyDescent="0.25">
      <c r="A36" s="22" t="s">
        <v>63</v>
      </c>
      <c r="B36" s="5" t="s">
        <v>64</v>
      </c>
      <c r="C36" s="31">
        <v>2378</v>
      </c>
      <c r="D36" s="37">
        <f t="shared" si="0"/>
        <v>4.7560000000000002</v>
      </c>
      <c r="F36" s="22" t="s">
        <v>665</v>
      </c>
      <c r="G36" s="5" t="s">
        <v>290</v>
      </c>
      <c r="H36" s="31">
        <v>7479</v>
      </c>
      <c r="I36" s="32">
        <f t="shared" si="1"/>
        <v>14.958</v>
      </c>
      <c r="K36" s="22" t="s">
        <v>490</v>
      </c>
      <c r="L36" s="5" t="s">
        <v>491</v>
      </c>
      <c r="M36" s="31">
        <v>15470</v>
      </c>
      <c r="N36" s="37">
        <f t="shared" si="2"/>
        <v>30.94</v>
      </c>
    </row>
    <row r="37" spans="1:19" x14ac:dyDescent="0.25">
      <c r="A37" s="22" t="s">
        <v>65</v>
      </c>
      <c r="B37" s="5" t="s">
        <v>66</v>
      </c>
      <c r="C37" s="31">
        <v>145</v>
      </c>
      <c r="D37" s="37">
        <f t="shared" si="0"/>
        <v>0.28999999999999998</v>
      </c>
      <c r="F37" s="22" t="s">
        <v>666</v>
      </c>
      <c r="G37" s="5" t="s">
        <v>292</v>
      </c>
      <c r="H37" s="31">
        <v>2756</v>
      </c>
      <c r="I37" s="32">
        <f t="shared" si="1"/>
        <v>5.5119999999999996</v>
      </c>
      <c r="K37" s="22" t="s">
        <v>492</v>
      </c>
      <c r="L37" s="5" t="s">
        <v>493</v>
      </c>
      <c r="M37" s="31">
        <v>8319</v>
      </c>
      <c r="N37" s="37">
        <f t="shared" si="2"/>
        <v>16.638000000000002</v>
      </c>
    </row>
    <row r="38" spans="1:19" x14ac:dyDescent="0.25">
      <c r="A38" s="22" t="s">
        <v>67</v>
      </c>
      <c r="B38" s="5" t="s">
        <v>68</v>
      </c>
      <c r="C38" s="31">
        <v>3633</v>
      </c>
      <c r="D38" s="37">
        <f t="shared" si="0"/>
        <v>7.266</v>
      </c>
      <c r="F38" s="22" t="s">
        <v>667</v>
      </c>
      <c r="G38" s="5" t="s">
        <v>294</v>
      </c>
      <c r="H38" s="31">
        <v>3639</v>
      </c>
      <c r="I38" s="32">
        <f t="shared" si="1"/>
        <v>7.2779999999999996</v>
      </c>
      <c r="K38" s="22" t="s">
        <v>494</v>
      </c>
      <c r="L38" s="5" t="s">
        <v>495</v>
      </c>
      <c r="M38" s="31">
        <v>11940</v>
      </c>
      <c r="N38" s="37">
        <f t="shared" si="2"/>
        <v>23.88</v>
      </c>
    </row>
    <row r="39" spans="1:19" x14ac:dyDescent="0.25">
      <c r="A39" s="22" t="s">
        <v>69</v>
      </c>
      <c r="B39" s="5" t="s">
        <v>70</v>
      </c>
      <c r="C39" s="31">
        <v>91</v>
      </c>
      <c r="D39" s="37">
        <f t="shared" si="0"/>
        <v>0.182</v>
      </c>
      <c r="F39" s="22" t="s">
        <v>668</v>
      </c>
      <c r="G39" s="5" t="s">
        <v>296</v>
      </c>
      <c r="H39" s="31">
        <v>2359</v>
      </c>
      <c r="I39" s="32">
        <f t="shared" si="1"/>
        <v>4.718</v>
      </c>
      <c r="K39" s="22" t="s">
        <v>757</v>
      </c>
      <c r="L39" s="5" t="s">
        <v>497</v>
      </c>
      <c r="M39" s="31">
        <v>13705</v>
      </c>
      <c r="N39" s="37">
        <f t="shared" si="2"/>
        <v>27.41</v>
      </c>
    </row>
    <row r="40" spans="1:19" x14ac:dyDescent="0.25">
      <c r="A40" s="22" t="s">
        <v>33</v>
      </c>
      <c r="B40" s="5" t="s">
        <v>71</v>
      </c>
      <c r="C40" s="31">
        <v>2198</v>
      </c>
      <c r="D40" s="37">
        <f t="shared" si="0"/>
        <v>4.3959999999999999</v>
      </c>
      <c r="F40" s="22" t="s">
        <v>669</v>
      </c>
      <c r="G40" s="5" t="s">
        <v>298</v>
      </c>
      <c r="H40" s="31">
        <v>3362</v>
      </c>
      <c r="I40" s="32">
        <f t="shared" si="1"/>
        <v>6.7240000000000002</v>
      </c>
      <c r="K40" s="22" t="s">
        <v>498</v>
      </c>
      <c r="L40" s="5" t="s">
        <v>499</v>
      </c>
      <c r="M40" s="31">
        <v>6862</v>
      </c>
      <c r="N40" s="37">
        <f t="shared" si="2"/>
        <v>13.724</v>
      </c>
    </row>
    <row r="41" spans="1:19" x14ac:dyDescent="0.25">
      <c r="A41" s="22" t="s">
        <v>33</v>
      </c>
      <c r="B41" s="5" t="s">
        <v>72</v>
      </c>
      <c r="C41" s="31">
        <v>1880</v>
      </c>
      <c r="D41" s="37">
        <f t="shared" si="0"/>
        <v>3.76</v>
      </c>
      <c r="F41" s="22" t="s">
        <v>299</v>
      </c>
      <c r="G41" s="5" t="s">
        <v>300</v>
      </c>
      <c r="H41" s="31">
        <v>2517</v>
      </c>
      <c r="I41" s="32">
        <f t="shared" si="1"/>
        <v>5.0339999999999998</v>
      </c>
      <c r="K41" s="22" t="s">
        <v>500</v>
      </c>
      <c r="L41" s="5" t="s">
        <v>501</v>
      </c>
      <c r="M41" s="31">
        <v>9224</v>
      </c>
      <c r="N41" s="37">
        <f t="shared" si="2"/>
        <v>18.448</v>
      </c>
    </row>
    <row r="42" spans="1:19" x14ac:dyDescent="0.25">
      <c r="A42" s="22" t="s">
        <v>73</v>
      </c>
      <c r="B42" s="5" t="s">
        <v>74</v>
      </c>
      <c r="C42" s="31">
        <v>6319</v>
      </c>
      <c r="D42" s="37">
        <f t="shared" si="0"/>
        <v>12.638</v>
      </c>
      <c r="F42" s="22" t="s">
        <v>670</v>
      </c>
      <c r="G42" s="5" t="s">
        <v>302</v>
      </c>
      <c r="H42" s="31">
        <v>3342</v>
      </c>
      <c r="I42" s="32">
        <f t="shared" si="1"/>
        <v>6.6840000000000002</v>
      </c>
      <c r="K42" s="22" t="s">
        <v>502</v>
      </c>
      <c r="L42" s="5" t="s">
        <v>503</v>
      </c>
      <c r="M42" s="31">
        <v>17469</v>
      </c>
      <c r="N42" s="37">
        <f t="shared" si="2"/>
        <v>34.938000000000002</v>
      </c>
    </row>
    <row r="43" spans="1:19" x14ac:dyDescent="0.25">
      <c r="A43" s="22" t="s">
        <v>75</v>
      </c>
      <c r="B43" s="5" t="s">
        <v>76</v>
      </c>
      <c r="C43" s="31">
        <v>1289</v>
      </c>
      <c r="D43" s="37">
        <f t="shared" si="0"/>
        <v>2.5779999999999998</v>
      </c>
      <c r="F43" s="22" t="s">
        <v>303</v>
      </c>
      <c r="G43" s="5" t="s">
        <v>304</v>
      </c>
      <c r="H43" s="31">
        <v>385</v>
      </c>
      <c r="I43" s="32">
        <f t="shared" si="1"/>
        <v>0.77</v>
      </c>
      <c r="K43" s="22" t="s">
        <v>504</v>
      </c>
      <c r="L43" s="5" t="s">
        <v>505</v>
      </c>
      <c r="M43" s="31">
        <v>12945</v>
      </c>
      <c r="N43" s="37">
        <f t="shared" si="2"/>
        <v>25.89</v>
      </c>
    </row>
    <row r="44" spans="1:19" x14ac:dyDescent="0.25">
      <c r="A44" s="22" t="s">
        <v>77</v>
      </c>
      <c r="B44" s="5" t="s">
        <v>78</v>
      </c>
      <c r="C44" s="31">
        <v>4201</v>
      </c>
      <c r="D44" s="37">
        <f t="shared" si="0"/>
        <v>8.4019999999999992</v>
      </c>
      <c r="F44" s="22" t="s">
        <v>305</v>
      </c>
      <c r="G44" s="5" t="s">
        <v>306</v>
      </c>
      <c r="H44" s="31">
        <v>242</v>
      </c>
      <c r="I44" s="32">
        <f t="shared" si="1"/>
        <v>0.48399999999999999</v>
      </c>
      <c r="K44" s="22" t="s">
        <v>506</v>
      </c>
      <c r="L44" s="5" t="s">
        <v>507</v>
      </c>
      <c r="M44" s="31">
        <v>12057</v>
      </c>
      <c r="N44" s="37">
        <f t="shared" si="2"/>
        <v>24.114000000000001</v>
      </c>
    </row>
    <row r="45" spans="1:19" x14ac:dyDescent="0.25">
      <c r="A45" s="22" t="s">
        <v>79</v>
      </c>
      <c r="B45" s="5" t="s">
        <v>80</v>
      </c>
      <c r="C45" s="31">
        <v>1751</v>
      </c>
      <c r="D45" s="37">
        <f t="shared" si="0"/>
        <v>3.5019999999999998</v>
      </c>
      <c r="F45" s="22" t="s">
        <v>671</v>
      </c>
      <c r="G45" s="5" t="s">
        <v>308</v>
      </c>
      <c r="H45" s="31">
        <v>6062</v>
      </c>
      <c r="I45" s="32">
        <f t="shared" si="1"/>
        <v>12.124000000000001</v>
      </c>
      <c r="K45" s="22" t="s">
        <v>508</v>
      </c>
      <c r="L45" s="5" t="s">
        <v>509</v>
      </c>
      <c r="M45" s="31">
        <v>25639</v>
      </c>
      <c r="N45" s="37">
        <f t="shared" si="2"/>
        <v>51.277999999999999</v>
      </c>
    </row>
    <row r="46" spans="1:19" x14ac:dyDescent="0.25">
      <c r="A46" s="22" t="s">
        <v>69</v>
      </c>
      <c r="B46" s="5" t="s">
        <v>81</v>
      </c>
      <c r="C46" s="31">
        <v>3116</v>
      </c>
      <c r="D46" s="37">
        <f t="shared" si="0"/>
        <v>6.2320000000000002</v>
      </c>
      <c r="F46" s="22" t="s">
        <v>672</v>
      </c>
      <c r="G46" s="5" t="s">
        <v>310</v>
      </c>
      <c r="H46" s="31">
        <v>1723</v>
      </c>
      <c r="I46" s="32">
        <f t="shared" si="1"/>
        <v>3.4460000000000002</v>
      </c>
      <c r="K46" s="22" t="s">
        <v>510</v>
      </c>
      <c r="L46" s="5" t="s">
        <v>511</v>
      </c>
      <c r="M46" s="31">
        <v>3988</v>
      </c>
      <c r="N46" s="37">
        <f t="shared" si="2"/>
        <v>7.976</v>
      </c>
    </row>
    <row r="47" spans="1:19" x14ac:dyDescent="0.25">
      <c r="A47" s="22" t="s">
        <v>69</v>
      </c>
      <c r="B47" s="5" t="s">
        <v>82</v>
      </c>
      <c r="C47" s="31">
        <v>3667</v>
      </c>
      <c r="D47" s="37">
        <f t="shared" si="0"/>
        <v>7.3339999999999996</v>
      </c>
      <c r="F47" s="22" t="s">
        <v>673</v>
      </c>
      <c r="G47" s="5" t="s">
        <v>312</v>
      </c>
      <c r="H47" s="31">
        <v>3633</v>
      </c>
      <c r="I47" s="32">
        <f t="shared" si="1"/>
        <v>7.266</v>
      </c>
      <c r="K47" s="22" t="s">
        <v>512</v>
      </c>
      <c r="L47" s="5" t="s">
        <v>513</v>
      </c>
      <c r="M47" s="31">
        <v>19491</v>
      </c>
      <c r="N47" s="37">
        <f t="shared" si="2"/>
        <v>38.981999999999999</v>
      </c>
    </row>
    <row r="48" spans="1:19" x14ac:dyDescent="0.25">
      <c r="A48" s="22" t="s">
        <v>83</v>
      </c>
      <c r="B48" s="5" t="s">
        <v>84</v>
      </c>
      <c r="C48" s="31">
        <v>820</v>
      </c>
      <c r="D48" s="37">
        <f t="shared" si="0"/>
        <v>1.64</v>
      </c>
      <c r="F48" s="22" t="s">
        <v>674</v>
      </c>
      <c r="G48" s="5" t="s">
        <v>314</v>
      </c>
      <c r="H48" s="31">
        <v>4139</v>
      </c>
      <c r="I48" s="32">
        <f t="shared" si="1"/>
        <v>8.2780000000000005</v>
      </c>
      <c r="K48" s="22" t="s">
        <v>514</v>
      </c>
      <c r="L48" s="5" t="s">
        <v>515</v>
      </c>
      <c r="M48" s="31">
        <v>200</v>
      </c>
      <c r="N48" s="37">
        <f t="shared" si="2"/>
        <v>0.4</v>
      </c>
    </row>
    <row r="49" spans="1:14" x14ac:dyDescent="0.25">
      <c r="A49" s="22" t="s">
        <v>85</v>
      </c>
      <c r="B49" s="5" t="s">
        <v>86</v>
      </c>
      <c r="C49" s="31">
        <v>2798</v>
      </c>
      <c r="D49" s="37">
        <f t="shared" si="0"/>
        <v>5.5960000000000001</v>
      </c>
      <c r="F49" s="22" t="s">
        <v>675</v>
      </c>
      <c r="G49" s="5" t="s">
        <v>316</v>
      </c>
      <c r="H49" s="31">
        <v>1441</v>
      </c>
      <c r="I49" s="32">
        <f t="shared" si="1"/>
        <v>2.8820000000000001</v>
      </c>
      <c r="K49" s="22" t="s">
        <v>516</v>
      </c>
      <c r="L49" s="5" t="s">
        <v>517</v>
      </c>
      <c r="M49" s="31">
        <v>3544</v>
      </c>
      <c r="N49" s="37">
        <f t="shared" si="2"/>
        <v>7.0880000000000001</v>
      </c>
    </row>
    <row r="50" spans="1:14" x14ac:dyDescent="0.25">
      <c r="A50" s="22" t="s">
        <v>89</v>
      </c>
      <c r="B50" s="5" t="s">
        <v>90</v>
      </c>
      <c r="C50" s="31">
        <v>0</v>
      </c>
      <c r="D50" s="37">
        <f t="shared" si="0"/>
        <v>0</v>
      </c>
      <c r="F50" s="22" t="s">
        <v>676</v>
      </c>
      <c r="G50" s="5" t="s">
        <v>318</v>
      </c>
      <c r="H50" s="31">
        <v>4024</v>
      </c>
      <c r="I50" s="32">
        <f t="shared" si="1"/>
        <v>8.048</v>
      </c>
      <c r="K50" s="22" t="s">
        <v>518</v>
      </c>
      <c r="L50" s="5" t="s">
        <v>519</v>
      </c>
      <c r="M50" s="31">
        <v>10524</v>
      </c>
      <c r="N50" s="37">
        <f t="shared" si="2"/>
        <v>21.047999999999998</v>
      </c>
    </row>
    <row r="51" spans="1:14" x14ac:dyDescent="0.25">
      <c r="A51" s="22" t="s">
        <v>91</v>
      </c>
      <c r="B51" s="5" t="s">
        <v>92</v>
      </c>
      <c r="C51" s="31">
        <v>7112</v>
      </c>
      <c r="D51" s="37">
        <f t="shared" si="0"/>
        <v>14.224</v>
      </c>
      <c r="F51" s="22" t="s">
        <v>677</v>
      </c>
      <c r="G51" s="5" t="s">
        <v>320</v>
      </c>
      <c r="H51" s="31">
        <v>1899</v>
      </c>
      <c r="I51" s="32">
        <f t="shared" si="1"/>
        <v>3.798</v>
      </c>
      <c r="K51" s="22" t="s">
        <v>520</v>
      </c>
      <c r="L51" s="5" t="s">
        <v>521</v>
      </c>
      <c r="M51" s="31">
        <v>25539</v>
      </c>
      <c r="N51" s="37">
        <f t="shared" si="2"/>
        <v>51.078000000000003</v>
      </c>
    </row>
    <row r="52" spans="1:14" x14ac:dyDescent="0.25">
      <c r="A52" s="22" t="s">
        <v>93</v>
      </c>
      <c r="B52" s="5" t="s">
        <v>94</v>
      </c>
      <c r="C52" s="31">
        <v>575</v>
      </c>
      <c r="D52" s="37">
        <f t="shared" si="0"/>
        <v>1.1499999999999999</v>
      </c>
      <c r="F52" s="22" t="s">
        <v>678</v>
      </c>
      <c r="G52" s="5" t="s">
        <v>322</v>
      </c>
      <c r="H52" s="31">
        <v>2237</v>
      </c>
      <c r="I52" s="32">
        <f t="shared" si="1"/>
        <v>4.4740000000000002</v>
      </c>
      <c r="K52" s="22" t="s">
        <v>522</v>
      </c>
      <c r="L52" s="5" t="s">
        <v>523</v>
      </c>
      <c r="M52" s="31">
        <v>23485</v>
      </c>
      <c r="N52" s="37">
        <f t="shared" si="2"/>
        <v>46.97</v>
      </c>
    </row>
    <row r="53" spans="1:14" x14ac:dyDescent="0.25">
      <c r="A53" s="22" t="s">
        <v>67</v>
      </c>
      <c r="B53" s="5" t="s">
        <v>95</v>
      </c>
      <c r="C53" s="31">
        <v>2772</v>
      </c>
      <c r="D53" s="37">
        <f t="shared" si="0"/>
        <v>5.5439999999999996</v>
      </c>
      <c r="F53" s="22" t="s">
        <v>679</v>
      </c>
      <c r="G53" s="5" t="s">
        <v>324</v>
      </c>
      <c r="H53" s="31">
        <v>5301</v>
      </c>
      <c r="I53" s="32">
        <f t="shared" si="1"/>
        <v>10.602</v>
      </c>
      <c r="K53" s="22" t="s">
        <v>524</v>
      </c>
      <c r="L53" s="5" t="s">
        <v>525</v>
      </c>
      <c r="M53" s="31">
        <v>12597</v>
      </c>
      <c r="N53" s="37">
        <f t="shared" si="2"/>
        <v>25.193999999999999</v>
      </c>
    </row>
    <row r="54" spans="1:14" x14ac:dyDescent="0.25">
      <c r="A54" s="22" t="s">
        <v>96</v>
      </c>
      <c r="B54" s="5" t="s">
        <v>97</v>
      </c>
      <c r="C54" s="31">
        <v>2167</v>
      </c>
      <c r="D54" s="37">
        <f t="shared" si="0"/>
        <v>4.3339999999999996</v>
      </c>
      <c r="F54" s="22" t="s">
        <v>680</v>
      </c>
      <c r="G54" s="5" t="s">
        <v>146</v>
      </c>
      <c r="H54" s="31">
        <v>6588</v>
      </c>
      <c r="I54" s="32">
        <f t="shared" si="1"/>
        <v>13.176</v>
      </c>
      <c r="K54" s="22" t="s">
        <v>526</v>
      </c>
      <c r="L54" s="5" t="s">
        <v>527</v>
      </c>
      <c r="M54" s="31">
        <v>23107</v>
      </c>
      <c r="N54" s="37">
        <f t="shared" si="2"/>
        <v>46.213999999999999</v>
      </c>
    </row>
    <row r="55" spans="1:14" x14ac:dyDescent="0.25">
      <c r="A55" s="22" t="s">
        <v>98</v>
      </c>
      <c r="B55" s="5" t="s">
        <v>99</v>
      </c>
      <c r="C55" s="31">
        <v>2112</v>
      </c>
      <c r="D55" s="37">
        <f t="shared" si="0"/>
        <v>4.2240000000000002</v>
      </c>
      <c r="F55" s="22" t="s">
        <v>681</v>
      </c>
      <c r="G55" s="5" t="s">
        <v>280</v>
      </c>
      <c r="H55" s="31">
        <v>8767</v>
      </c>
      <c r="I55" s="32">
        <f t="shared" si="1"/>
        <v>17.533999999999999</v>
      </c>
      <c r="K55" s="22" t="s">
        <v>528</v>
      </c>
      <c r="L55" s="5" t="s">
        <v>529</v>
      </c>
      <c r="M55" s="31">
        <v>15339</v>
      </c>
      <c r="N55" s="37">
        <f t="shared" si="2"/>
        <v>30.678000000000001</v>
      </c>
    </row>
    <row r="56" spans="1:14" x14ac:dyDescent="0.25">
      <c r="A56" s="22" t="s">
        <v>100</v>
      </c>
      <c r="B56" s="5" t="s">
        <v>101</v>
      </c>
      <c r="C56" s="31">
        <v>6371</v>
      </c>
      <c r="D56" s="37">
        <f t="shared" si="0"/>
        <v>12.742000000000001</v>
      </c>
      <c r="F56" s="22" t="s">
        <v>682</v>
      </c>
      <c r="G56" s="5" t="s">
        <v>325</v>
      </c>
      <c r="H56" s="31">
        <v>111</v>
      </c>
      <c r="I56" s="32">
        <f t="shared" si="1"/>
        <v>0.222</v>
      </c>
      <c r="K56" s="22" t="s">
        <v>530</v>
      </c>
      <c r="L56" s="5" t="s">
        <v>531</v>
      </c>
      <c r="M56" s="31">
        <v>10241</v>
      </c>
      <c r="N56" s="37">
        <f t="shared" si="2"/>
        <v>20.481999999999999</v>
      </c>
    </row>
    <row r="57" spans="1:14" x14ac:dyDescent="0.25">
      <c r="A57" s="22" t="s">
        <v>102</v>
      </c>
      <c r="B57" s="5" t="s">
        <v>103</v>
      </c>
      <c r="C57" s="31">
        <v>102</v>
      </c>
      <c r="D57" s="37">
        <f t="shared" si="0"/>
        <v>0.20399999999999999</v>
      </c>
      <c r="F57" s="22" t="s">
        <v>683</v>
      </c>
      <c r="G57" s="5" t="s">
        <v>327</v>
      </c>
      <c r="H57" s="31">
        <v>2912</v>
      </c>
      <c r="I57" s="32">
        <f t="shared" si="1"/>
        <v>5.8239999999999998</v>
      </c>
      <c r="K57" s="22" t="s">
        <v>760</v>
      </c>
      <c r="L57" s="5" t="s">
        <v>761</v>
      </c>
      <c r="M57" s="31">
        <v>0</v>
      </c>
      <c r="N57" s="37">
        <f t="shared" si="2"/>
        <v>0</v>
      </c>
    </row>
    <row r="58" spans="1:14" x14ac:dyDescent="0.25">
      <c r="A58" s="22" t="s">
        <v>104</v>
      </c>
      <c r="B58" s="5" t="s">
        <v>105</v>
      </c>
      <c r="C58" s="31">
        <v>244</v>
      </c>
      <c r="D58" s="37">
        <f t="shared" si="0"/>
        <v>0.48799999999999999</v>
      </c>
      <c r="F58" s="22" t="s">
        <v>684</v>
      </c>
      <c r="G58" s="5" t="s">
        <v>357</v>
      </c>
      <c r="H58" s="31">
        <v>0</v>
      </c>
      <c r="I58" s="32">
        <f t="shared" si="1"/>
        <v>0</v>
      </c>
      <c r="K58" s="22" t="s">
        <v>762</v>
      </c>
      <c r="L58" s="5" t="s">
        <v>763</v>
      </c>
      <c r="M58" s="31">
        <v>0</v>
      </c>
      <c r="N58" s="37">
        <f t="shared" si="2"/>
        <v>0</v>
      </c>
    </row>
    <row r="59" spans="1:14" x14ac:dyDescent="0.25">
      <c r="A59" s="22" t="s">
        <v>106</v>
      </c>
      <c r="B59" s="5" t="s">
        <v>107</v>
      </c>
      <c r="C59" s="31">
        <v>5363</v>
      </c>
      <c r="D59" s="37">
        <f t="shared" si="0"/>
        <v>10.726000000000001</v>
      </c>
      <c r="F59" s="22" t="s">
        <v>686</v>
      </c>
      <c r="G59" s="5" t="s">
        <v>328</v>
      </c>
      <c r="H59" s="31">
        <v>1017</v>
      </c>
      <c r="I59" s="32">
        <f t="shared" si="1"/>
        <v>2.0339999999999998</v>
      </c>
      <c r="K59" s="22" t="s">
        <v>764</v>
      </c>
      <c r="L59" s="5" t="s">
        <v>765</v>
      </c>
      <c r="M59" s="31">
        <v>0</v>
      </c>
      <c r="N59" s="37">
        <f t="shared" si="2"/>
        <v>0</v>
      </c>
    </row>
    <row r="60" spans="1:14" x14ac:dyDescent="0.25">
      <c r="A60" s="22" t="s">
        <v>106</v>
      </c>
      <c r="B60" s="5" t="s">
        <v>108</v>
      </c>
      <c r="C60" s="31">
        <v>1952</v>
      </c>
      <c r="D60" s="37">
        <f t="shared" si="0"/>
        <v>3.9039999999999999</v>
      </c>
      <c r="F60" s="22" t="s">
        <v>659</v>
      </c>
      <c r="G60" s="5" t="s">
        <v>687</v>
      </c>
      <c r="H60" s="31">
        <v>1289</v>
      </c>
      <c r="I60" s="32">
        <f t="shared" si="1"/>
        <v>2.5779999999999998</v>
      </c>
      <c r="K60" s="22" t="s">
        <v>766</v>
      </c>
      <c r="L60" s="5" t="s">
        <v>767</v>
      </c>
      <c r="M60" s="31">
        <v>0</v>
      </c>
      <c r="N60" s="37">
        <f t="shared" si="2"/>
        <v>0</v>
      </c>
    </row>
    <row r="61" spans="1:14" x14ac:dyDescent="0.25">
      <c r="A61" s="22" t="s">
        <v>109</v>
      </c>
      <c r="B61" s="5" t="s">
        <v>110</v>
      </c>
      <c r="C61" s="31">
        <v>810</v>
      </c>
      <c r="D61" s="37">
        <f t="shared" si="0"/>
        <v>1.62</v>
      </c>
      <c r="F61" s="22" t="s">
        <v>656</v>
      </c>
      <c r="G61" s="5" t="s">
        <v>688</v>
      </c>
      <c r="H61" s="31">
        <v>3895</v>
      </c>
      <c r="I61" s="32">
        <f t="shared" si="1"/>
        <v>7.79</v>
      </c>
      <c r="K61" s="22" t="s">
        <v>768</v>
      </c>
      <c r="L61" s="5" t="s">
        <v>769</v>
      </c>
      <c r="M61" s="31">
        <v>0</v>
      </c>
      <c r="N61" s="37">
        <f t="shared" si="2"/>
        <v>0</v>
      </c>
    </row>
    <row r="62" spans="1:14" x14ac:dyDescent="0.25">
      <c r="A62" s="22" t="s">
        <v>111</v>
      </c>
      <c r="B62" s="5" t="s">
        <v>112</v>
      </c>
      <c r="C62" s="31">
        <v>1195</v>
      </c>
      <c r="D62" s="37">
        <f t="shared" si="0"/>
        <v>2.39</v>
      </c>
      <c r="F62" s="22" t="s">
        <v>689</v>
      </c>
      <c r="G62" s="5" t="s">
        <v>330</v>
      </c>
      <c r="H62" s="31">
        <v>2202</v>
      </c>
      <c r="I62" s="32">
        <f t="shared" si="1"/>
        <v>4.4039999999999999</v>
      </c>
      <c r="K62" s="22" t="s">
        <v>770</v>
      </c>
      <c r="L62" s="5" t="s">
        <v>771</v>
      </c>
      <c r="M62" s="31">
        <v>0</v>
      </c>
      <c r="N62" s="37">
        <f t="shared" si="2"/>
        <v>0</v>
      </c>
    </row>
    <row r="63" spans="1:14" x14ac:dyDescent="0.25">
      <c r="A63" s="22" t="s">
        <v>113</v>
      </c>
      <c r="B63" s="5" t="s">
        <v>114</v>
      </c>
      <c r="C63" s="31">
        <v>643</v>
      </c>
      <c r="D63" s="37">
        <f t="shared" si="0"/>
        <v>1.286</v>
      </c>
      <c r="F63" s="22" t="s">
        <v>652</v>
      </c>
      <c r="G63" s="5" t="s">
        <v>331</v>
      </c>
      <c r="H63" s="31">
        <v>6427</v>
      </c>
      <c r="I63" s="32">
        <f t="shared" si="1"/>
        <v>12.853999999999999</v>
      </c>
      <c r="K63" s="22" t="s">
        <v>772</v>
      </c>
      <c r="L63" s="5" t="s">
        <v>773</v>
      </c>
      <c r="M63" s="31">
        <v>0</v>
      </c>
      <c r="N63" s="37">
        <f t="shared" si="2"/>
        <v>0</v>
      </c>
    </row>
    <row r="64" spans="1:14" x14ac:dyDescent="0.25">
      <c r="A64" s="22" t="s">
        <v>115</v>
      </c>
      <c r="B64" s="5" t="s">
        <v>116</v>
      </c>
      <c r="C64" s="31">
        <v>939</v>
      </c>
      <c r="D64" s="37">
        <f t="shared" si="0"/>
        <v>1.8779999999999999</v>
      </c>
      <c r="F64" s="22" t="s">
        <v>667</v>
      </c>
      <c r="G64" s="5" t="s">
        <v>333</v>
      </c>
      <c r="H64" s="31">
        <v>6593</v>
      </c>
      <c r="I64" s="32">
        <f t="shared" si="1"/>
        <v>13.186</v>
      </c>
      <c r="K64" s="22" t="s">
        <v>774</v>
      </c>
      <c r="L64" s="5" t="s">
        <v>775</v>
      </c>
      <c r="M64" s="31">
        <v>3715</v>
      </c>
      <c r="N64" s="37">
        <f t="shared" si="2"/>
        <v>7.43</v>
      </c>
    </row>
    <row r="65" spans="1:14" x14ac:dyDescent="0.25">
      <c r="A65" s="22" t="s">
        <v>117</v>
      </c>
      <c r="B65" s="5" t="s">
        <v>118</v>
      </c>
      <c r="C65" s="31">
        <v>3515</v>
      </c>
      <c r="D65" s="37">
        <f t="shared" si="0"/>
        <v>7.03</v>
      </c>
      <c r="F65" s="22" t="s">
        <v>690</v>
      </c>
      <c r="G65" s="5" t="s">
        <v>335</v>
      </c>
      <c r="H65" s="31">
        <v>5343</v>
      </c>
      <c r="I65" s="32">
        <f t="shared" si="1"/>
        <v>10.686</v>
      </c>
      <c r="K65" s="22" t="s">
        <v>776</v>
      </c>
      <c r="L65" s="5" t="s">
        <v>777</v>
      </c>
      <c r="M65" s="31">
        <v>0</v>
      </c>
      <c r="N65" s="37">
        <f t="shared" si="2"/>
        <v>0</v>
      </c>
    </row>
    <row r="66" spans="1:14" x14ac:dyDescent="0.25">
      <c r="A66" s="22" t="s">
        <v>119</v>
      </c>
      <c r="B66" s="5" t="s">
        <v>120</v>
      </c>
      <c r="C66" s="31">
        <v>396</v>
      </c>
      <c r="D66" s="37">
        <f t="shared" si="0"/>
        <v>0.79200000000000004</v>
      </c>
      <c r="F66" s="22" t="s">
        <v>666</v>
      </c>
      <c r="G66" s="5" t="s">
        <v>336</v>
      </c>
      <c r="H66" s="31">
        <v>1476</v>
      </c>
      <c r="I66" s="32">
        <f t="shared" si="1"/>
        <v>2.952</v>
      </c>
      <c r="K66" s="22" t="s">
        <v>778</v>
      </c>
      <c r="L66" s="5" t="s">
        <v>779</v>
      </c>
      <c r="M66" s="31">
        <v>0</v>
      </c>
      <c r="N66" s="37">
        <f t="shared" si="2"/>
        <v>0</v>
      </c>
    </row>
    <row r="67" spans="1:14" x14ac:dyDescent="0.25">
      <c r="A67" s="22" t="s">
        <v>121</v>
      </c>
      <c r="B67" s="5" t="s">
        <v>122</v>
      </c>
      <c r="C67" s="31">
        <v>1301</v>
      </c>
      <c r="D67" s="37">
        <f t="shared" si="0"/>
        <v>2.6019999999999999</v>
      </c>
      <c r="F67" s="22" t="s">
        <v>691</v>
      </c>
      <c r="G67" s="5" t="s">
        <v>338</v>
      </c>
      <c r="H67" s="31">
        <v>4768</v>
      </c>
      <c r="I67" s="32">
        <f t="shared" si="1"/>
        <v>9.5359999999999996</v>
      </c>
      <c r="K67" s="22" t="s">
        <v>433</v>
      </c>
      <c r="L67" s="5" t="s">
        <v>532</v>
      </c>
      <c r="M67" s="31">
        <v>3293</v>
      </c>
      <c r="N67" s="37">
        <f t="shared" si="2"/>
        <v>6.5860000000000003</v>
      </c>
    </row>
    <row r="68" spans="1:14" x14ac:dyDescent="0.25">
      <c r="A68" s="22" t="s">
        <v>123</v>
      </c>
      <c r="B68" s="5" t="s">
        <v>124</v>
      </c>
      <c r="C68" s="31">
        <v>78</v>
      </c>
      <c r="D68" s="37">
        <f t="shared" ref="D68:D131" si="4">C68/500</f>
        <v>0.156</v>
      </c>
      <c r="F68" s="22" t="s">
        <v>277</v>
      </c>
      <c r="G68" s="5" t="s">
        <v>692</v>
      </c>
      <c r="H68" s="31">
        <v>5570</v>
      </c>
      <c r="I68" s="32">
        <f t="shared" ref="I68:I124" si="5">H68/500</f>
        <v>11.14</v>
      </c>
      <c r="K68" s="22" t="s">
        <v>533</v>
      </c>
      <c r="L68" s="5" t="s">
        <v>534</v>
      </c>
      <c r="M68" s="31">
        <v>0</v>
      </c>
      <c r="N68" s="37">
        <f t="shared" ref="N68:N79" si="6">M68/500</f>
        <v>0</v>
      </c>
    </row>
    <row r="69" spans="1:14" x14ac:dyDescent="0.25">
      <c r="A69" s="22" t="s">
        <v>125</v>
      </c>
      <c r="B69" s="5" t="s">
        <v>126</v>
      </c>
      <c r="C69" s="31">
        <v>1</v>
      </c>
      <c r="D69" s="37">
        <f t="shared" si="4"/>
        <v>2E-3</v>
      </c>
      <c r="F69" s="22" t="s">
        <v>693</v>
      </c>
      <c r="G69" s="5" t="s">
        <v>340</v>
      </c>
      <c r="H69" s="31">
        <v>3113</v>
      </c>
      <c r="I69" s="32">
        <f t="shared" si="5"/>
        <v>6.226</v>
      </c>
      <c r="K69" s="22" t="s">
        <v>535</v>
      </c>
      <c r="L69" s="5" t="s">
        <v>536</v>
      </c>
      <c r="M69" s="31">
        <v>607</v>
      </c>
      <c r="N69" s="37">
        <f t="shared" si="6"/>
        <v>1.214</v>
      </c>
    </row>
    <row r="70" spans="1:14" x14ac:dyDescent="0.25">
      <c r="A70" s="22" t="s">
        <v>127</v>
      </c>
      <c r="B70" s="5" t="s">
        <v>128</v>
      </c>
      <c r="C70" s="31">
        <v>70</v>
      </c>
      <c r="D70" s="37">
        <f t="shared" si="4"/>
        <v>0.14000000000000001</v>
      </c>
      <c r="F70" s="22" t="s">
        <v>694</v>
      </c>
      <c r="G70" s="5" t="s">
        <v>341</v>
      </c>
      <c r="H70" s="31">
        <v>918</v>
      </c>
      <c r="I70" s="32">
        <f t="shared" si="5"/>
        <v>1.8360000000000001</v>
      </c>
      <c r="K70" s="22" t="s">
        <v>537</v>
      </c>
      <c r="L70" s="5" t="s">
        <v>538</v>
      </c>
      <c r="M70" s="31">
        <v>0</v>
      </c>
      <c r="N70" s="37">
        <f t="shared" si="6"/>
        <v>0</v>
      </c>
    </row>
    <row r="71" spans="1:14" x14ac:dyDescent="0.25">
      <c r="A71" s="22" t="s">
        <v>129</v>
      </c>
      <c r="B71" s="5" t="s">
        <v>130</v>
      </c>
      <c r="C71" s="31">
        <v>1683</v>
      </c>
      <c r="D71" s="37">
        <f t="shared" si="4"/>
        <v>3.3660000000000001</v>
      </c>
      <c r="F71" s="22" t="s">
        <v>695</v>
      </c>
      <c r="G71" s="5" t="s">
        <v>343</v>
      </c>
      <c r="H71" s="31">
        <v>3468</v>
      </c>
      <c r="I71" s="32">
        <f t="shared" si="5"/>
        <v>6.9359999999999999</v>
      </c>
      <c r="K71" s="22" t="s">
        <v>539</v>
      </c>
      <c r="L71" s="5" t="s">
        <v>540</v>
      </c>
      <c r="M71" s="31">
        <v>0</v>
      </c>
      <c r="N71" s="37">
        <f t="shared" si="6"/>
        <v>0</v>
      </c>
    </row>
    <row r="72" spans="1:14" x14ac:dyDescent="0.25">
      <c r="A72" s="22" t="s">
        <v>131</v>
      </c>
      <c r="B72" s="5" t="s">
        <v>132</v>
      </c>
      <c r="C72" s="31">
        <v>1808</v>
      </c>
      <c r="D72" s="37">
        <f t="shared" si="4"/>
        <v>3.6160000000000001</v>
      </c>
      <c r="F72" s="22" t="s">
        <v>696</v>
      </c>
      <c r="G72" s="5" t="s">
        <v>345</v>
      </c>
      <c r="H72" s="31">
        <v>6971</v>
      </c>
      <c r="I72" s="32">
        <f t="shared" si="5"/>
        <v>13.942</v>
      </c>
      <c r="K72" s="22" t="s">
        <v>541</v>
      </c>
      <c r="L72" s="5" t="s">
        <v>542</v>
      </c>
      <c r="M72" s="31">
        <v>22</v>
      </c>
      <c r="N72" s="37">
        <f t="shared" si="6"/>
        <v>4.3999999999999997E-2</v>
      </c>
    </row>
    <row r="73" spans="1:14" x14ac:dyDescent="0.25">
      <c r="A73" s="22" t="s">
        <v>133</v>
      </c>
      <c r="B73" s="5" t="s">
        <v>134</v>
      </c>
      <c r="C73" s="31">
        <v>3789</v>
      </c>
      <c r="D73" s="37">
        <f t="shared" si="4"/>
        <v>7.5780000000000003</v>
      </c>
      <c r="F73" s="22" t="s">
        <v>697</v>
      </c>
      <c r="G73" s="5" t="s">
        <v>347</v>
      </c>
      <c r="H73" s="31">
        <v>4075</v>
      </c>
      <c r="I73" s="32">
        <f t="shared" si="5"/>
        <v>8.15</v>
      </c>
      <c r="K73" s="22" t="s">
        <v>447</v>
      </c>
      <c r="L73" s="5" t="s">
        <v>543</v>
      </c>
      <c r="M73" s="31">
        <v>198</v>
      </c>
      <c r="N73" s="37">
        <f t="shared" si="6"/>
        <v>0.39600000000000002</v>
      </c>
    </row>
    <row r="74" spans="1:14" x14ac:dyDescent="0.25">
      <c r="A74" s="22" t="s">
        <v>135</v>
      </c>
      <c r="B74" s="5" t="s">
        <v>136</v>
      </c>
      <c r="C74" s="31">
        <v>2150</v>
      </c>
      <c r="D74" s="37">
        <f t="shared" si="4"/>
        <v>4.3</v>
      </c>
      <c r="F74" s="22" t="s">
        <v>698</v>
      </c>
      <c r="G74" s="5" t="s">
        <v>350</v>
      </c>
      <c r="H74" s="31">
        <v>2499</v>
      </c>
      <c r="I74" s="32">
        <f t="shared" si="5"/>
        <v>4.9980000000000002</v>
      </c>
      <c r="K74" s="22" t="s">
        <v>429</v>
      </c>
      <c r="L74" s="5" t="s">
        <v>544</v>
      </c>
      <c r="M74" s="31">
        <v>80</v>
      </c>
      <c r="N74" s="37">
        <f t="shared" si="6"/>
        <v>0.16</v>
      </c>
    </row>
    <row r="75" spans="1:14" x14ac:dyDescent="0.25">
      <c r="A75" s="22" t="s">
        <v>135</v>
      </c>
      <c r="B75" s="5" t="s">
        <v>137</v>
      </c>
      <c r="C75" s="31">
        <v>887</v>
      </c>
      <c r="D75" s="37">
        <f t="shared" si="4"/>
        <v>1.774</v>
      </c>
      <c r="F75" s="22" t="s">
        <v>699</v>
      </c>
      <c r="G75" s="5" t="s">
        <v>352</v>
      </c>
      <c r="H75" s="31">
        <v>4356</v>
      </c>
      <c r="I75" s="32">
        <f t="shared" si="5"/>
        <v>8.7119999999999997</v>
      </c>
      <c r="K75" s="22" t="s">
        <v>431</v>
      </c>
      <c r="L75" s="5" t="s">
        <v>545</v>
      </c>
      <c r="M75" s="31">
        <v>512</v>
      </c>
      <c r="N75" s="37">
        <f t="shared" si="6"/>
        <v>1.024</v>
      </c>
    </row>
    <row r="76" spans="1:14" x14ac:dyDescent="0.25">
      <c r="A76" s="22" t="s">
        <v>135</v>
      </c>
      <c r="B76" s="5" t="s">
        <v>138</v>
      </c>
      <c r="C76" s="31">
        <v>1305</v>
      </c>
      <c r="D76" s="37">
        <f t="shared" si="4"/>
        <v>2.61</v>
      </c>
      <c r="F76" s="22" t="s">
        <v>700</v>
      </c>
      <c r="G76" s="5" t="s">
        <v>353</v>
      </c>
      <c r="H76" s="31">
        <v>1635</v>
      </c>
      <c r="I76" s="32">
        <f t="shared" si="5"/>
        <v>3.27</v>
      </c>
      <c r="K76" s="22" t="s">
        <v>546</v>
      </c>
      <c r="L76" s="5" t="s">
        <v>547</v>
      </c>
      <c r="M76" s="31">
        <v>2205</v>
      </c>
      <c r="N76" s="37">
        <f t="shared" si="6"/>
        <v>4.41</v>
      </c>
    </row>
    <row r="77" spans="1:14" x14ac:dyDescent="0.25">
      <c r="A77" s="22" t="s">
        <v>139</v>
      </c>
      <c r="B77" s="5" t="s">
        <v>140</v>
      </c>
      <c r="C77" s="31">
        <v>4828</v>
      </c>
      <c r="D77" s="37">
        <f t="shared" si="4"/>
        <v>9.6560000000000006</v>
      </c>
      <c r="F77" s="22" t="s">
        <v>701</v>
      </c>
      <c r="G77" s="5" t="s">
        <v>355</v>
      </c>
      <c r="H77" s="31">
        <v>0</v>
      </c>
      <c r="I77" s="32">
        <f t="shared" si="5"/>
        <v>0</v>
      </c>
      <c r="K77" s="22" t="s">
        <v>548</v>
      </c>
      <c r="L77" s="5" t="s">
        <v>549</v>
      </c>
      <c r="M77" s="31">
        <v>830</v>
      </c>
      <c r="N77" s="37">
        <f t="shared" si="6"/>
        <v>1.66</v>
      </c>
    </row>
    <row r="78" spans="1:14" x14ac:dyDescent="0.25">
      <c r="A78" s="22" t="s">
        <v>141</v>
      </c>
      <c r="B78" s="5" t="s">
        <v>142</v>
      </c>
      <c r="C78" s="31">
        <v>2142</v>
      </c>
      <c r="D78" s="37">
        <f t="shared" si="4"/>
        <v>4.2839999999999998</v>
      </c>
      <c r="F78" s="22" t="s">
        <v>702</v>
      </c>
      <c r="G78" s="5" t="s">
        <v>703</v>
      </c>
      <c r="H78" s="31">
        <v>14404</v>
      </c>
      <c r="I78" s="32">
        <f t="shared" si="5"/>
        <v>28.808</v>
      </c>
      <c r="K78" s="22" t="s">
        <v>550</v>
      </c>
      <c r="L78" s="5" t="s">
        <v>551</v>
      </c>
      <c r="M78" s="31">
        <v>0</v>
      </c>
      <c r="N78" s="37">
        <f t="shared" si="6"/>
        <v>0</v>
      </c>
    </row>
    <row r="79" spans="1:14" ht="15.75" thickBot="1" x14ac:dyDescent="0.3">
      <c r="A79" s="22" t="s">
        <v>143</v>
      </c>
      <c r="B79" s="5" t="s">
        <v>144</v>
      </c>
      <c r="C79" s="31">
        <v>2608</v>
      </c>
      <c r="D79" s="37">
        <f t="shared" si="4"/>
        <v>5.2160000000000002</v>
      </c>
      <c r="F79" s="22" t="s">
        <v>704</v>
      </c>
      <c r="G79" s="5" t="s">
        <v>705</v>
      </c>
      <c r="H79" s="31">
        <v>3265</v>
      </c>
      <c r="I79" s="32">
        <f t="shared" si="5"/>
        <v>6.53</v>
      </c>
      <c r="K79" s="23" t="s">
        <v>552</v>
      </c>
      <c r="L79" s="24" t="s">
        <v>553</v>
      </c>
      <c r="M79" s="33">
        <v>1421</v>
      </c>
      <c r="N79" s="38">
        <f t="shared" si="6"/>
        <v>2.8420000000000001</v>
      </c>
    </row>
    <row r="80" spans="1:14" x14ac:dyDescent="0.25">
      <c r="A80" s="22" t="s">
        <v>623</v>
      </c>
      <c r="B80" s="5" t="s">
        <v>624</v>
      </c>
      <c r="C80" s="31">
        <v>3724</v>
      </c>
      <c r="D80" s="37">
        <f t="shared" si="4"/>
        <v>7.4480000000000004</v>
      </c>
      <c r="F80" s="22" t="s">
        <v>707</v>
      </c>
      <c r="G80" s="5" t="s">
        <v>358</v>
      </c>
      <c r="H80" s="31">
        <v>4444</v>
      </c>
      <c r="I80" s="32">
        <f t="shared" si="5"/>
        <v>8.8879999999999999</v>
      </c>
    </row>
    <row r="81" spans="1:9" x14ac:dyDescent="0.25">
      <c r="A81" s="22" t="s">
        <v>145</v>
      </c>
      <c r="B81" s="5" t="s">
        <v>625</v>
      </c>
      <c r="C81" s="31">
        <v>9</v>
      </c>
      <c r="D81" s="37">
        <f t="shared" si="4"/>
        <v>1.7999999999999999E-2</v>
      </c>
      <c r="F81" s="22" t="s">
        <v>708</v>
      </c>
      <c r="G81" s="5" t="s">
        <v>360</v>
      </c>
      <c r="H81" s="31">
        <v>436</v>
      </c>
      <c r="I81" s="32">
        <f t="shared" si="5"/>
        <v>0.872</v>
      </c>
    </row>
    <row r="82" spans="1:9" x14ac:dyDescent="0.25">
      <c r="A82" s="22" t="s">
        <v>626</v>
      </c>
      <c r="B82" s="5" t="s">
        <v>627</v>
      </c>
      <c r="C82" s="31">
        <v>3041</v>
      </c>
      <c r="D82" s="37">
        <f t="shared" si="4"/>
        <v>6.0819999999999999</v>
      </c>
      <c r="F82" s="22" t="s">
        <v>709</v>
      </c>
      <c r="G82" s="5" t="s">
        <v>362</v>
      </c>
      <c r="H82" s="31">
        <v>2976</v>
      </c>
      <c r="I82" s="32">
        <f t="shared" si="5"/>
        <v>5.952</v>
      </c>
    </row>
    <row r="83" spans="1:9" x14ac:dyDescent="0.25">
      <c r="A83" s="22" t="s">
        <v>628</v>
      </c>
      <c r="B83" s="5" t="s">
        <v>88</v>
      </c>
      <c r="C83" s="31">
        <v>1124</v>
      </c>
      <c r="D83" s="37">
        <f t="shared" si="4"/>
        <v>2.2480000000000002</v>
      </c>
      <c r="F83" s="22" t="s">
        <v>710</v>
      </c>
      <c r="G83" s="5" t="s">
        <v>364</v>
      </c>
      <c r="H83" s="31">
        <v>1116</v>
      </c>
      <c r="I83" s="32">
        <f t="shared" si="5"/>
        <v>2.2320000000000002</v>
      </c>
    </row>
    <row r="84" spans="1:9" x14ac:dyDescent="0.25">
      <c r="A84" s="22" t="s">
        <v>33</v>
      </c>
      <c r="B84" s="5" t="s">
        <v>147</v>
      </c>
      <c r="C84" s="31">
        <v>2293</v>
      </c>
      <c r="D84" s="37">
        <f t="shared" si="4"/>
        <v>4.5860000000000003</v>
      </c>
      <c r="F84" s="22" t="s">
        <v>711</v>
      </c>
      <c r="G84" s="5" t="s">
        <v>365</v>
      </c>
      <c r="H84" s="31">
        <v>6588</v>
      </c>
      <c r="I84" s="32">
        <f t="shared" si="5"/>
        <v>13.176</v>
      </c>
    </row>
    <row r="85" spans="1:9" x14ac:dyDescent="0.25">
      <c r="A85" s="22" t="s">
        <v>69</v>
      </c>
      <c r="B85" s="5" t="s">
        <v>148</v>
      </c>
      <c r="C85" s="31">
        <v>1588</v>
      </c>
      <c r="D85" s="37">
        <f t="shared" si="4"/>
        <v>3.1760000000000002</v>
      </c>
      <c r="F85" s="22" t="s">
        <v>712</v>
      </c>
      <c r="G85" s="5" t="s">
        <v>713</v>
      </c>
      <c r="H85" s="31">
        <v>5243</v>
      </c>
      <c r="I85" s="32">
        <f t="shared" si="5"/>
        <v>10.486000000000001</v>
      </c>
    </row>
    <row r="86" spans="1:9" x14ac:dyDescent="0.25">
      <c r="A86" s="22" t="s">
        <v>149</v>
      </c>
      <c r="B86" s="5" t="s">
        <v>150</v>
      </c>
      <c r="C86" s="31">
        <v>2044</v>
      </c>
      <c r="D86" s="37">
        <f t="shared" si="4"/>
        <v>4.0880000000000001</v>
      </c>
      <c r="F86" s="22" t="s">
        <v>714</v>
      </c>
      <c r="G86" s="5" t="s">
        <v>367</v>
      </c>
      <c r="H86" s="31">
        <v>1308</v>
      </c>
      <c r="I86" s="32">
        <f t="shared" si="5"/>
        <v>2.6160000000000001</v>
      </c>
    </row>
    <row r="87" spans="1:9" x14ac:dyDescent="0.25">
      <c r="A87" s="22" t="s">
        <v>46</v>
      </c>
      <c r="B87" s="5" t="s">
        <v>151</v>
      </c>
      <c r="C87" s="31">
        <v>993</v>
      </c>
      <c r="D87" s="37">
        <f t="shared" si="4"/>
        <v>1.986</v>
      </c>
      <c r="F87" s="22" t="s">
        <v>715</v>
      </c>
      <c r="G87" s="5" t="s">
        <v>369</v>
      </c>
      <c r="H87" s="31">
        <v>4642</v>
      </c>
      <c r="I87" s="32">
        <f t="shared" si="5"/>
        <v>9.2840000000000007</v>
      </c>
    </row>
    <row r="88" spans="1:9" x14ac:dyDescent="0.25">
      <c r="A88" s="22" t="s">
        <v>152</v>
      </c>
      <c r="B88" s="5" t="s">
        <v>153</v>
      </c>
      <c r="C88" s="31">
        <v>1545</v>
      </c>
      <c r="D88" s="37">
        <f t="shared" si="4"/>
        <v>3.09</v>
      </c>
      <c r="F88" s="22" t="s">
        <v>716</v>
      </c>
      <c r="G88" s="5" t="s">
        <v>718</v>
      </c>
      <c r="H88" s="31">
        <v>6303</v>
      </c>
      <c r="I88" s="32">
        <f t="shared" si="5"/>
        <v>12.606</v>
      </c>
    </row>
    <row r="89" spans="1:9" x14ac:dyDescent="0.25">
      <c r="A89" s="22" t="s">
        <v>5</v>
      </c>
      <c r="B89" s="5" t="s">
        <v>221</v>
      </c>
      <c r="C89" s="31">
        <v>260</v>
      </c>
      <c r="D89" s="37">
        <f t="shared" si="4"/>
        <v>0.52</v>
      </c>
      <c r="F89" s="22" t="s">
        <v>719</v>
      </c>
      <c r="G89" s="5" t="s">
        <v>371</v>
      </c>
      <c r="H89" s="31">
        <v>330</v>
      </c>
      <c r="I89" s="32">
        <f t="shared" si="5"/>
        <v>0.66</v>
      </c>
    </row>
    <row r="90" spans="1:9" x14ac:dyDescent="0.25">
      <c r="A90" s="22" t="s">
        <v>35</v>
      </c>
      <c r="B90" s="5" t="s">
        <v>155</v>
      </c>
      <c r="C90" s="31">
        <v>0</v>
      </c>
      <c r="D90" s="37">
        <f t="shared" si="4"/>
        <v>0</v>
      </c>
      <c r="F90" s="22" t="s">
        <v>664</v>
      </c>
      <c r="G90" s="5" t="s">
        <v>372</v>
      </c>
      <c r="H90" s="31">
        <v>6605</v>
      </c>
      <c r="I90" s="32">
        <f t="shared" si="5"/>
        <v>13.21</v>
      </c>
    </row>
    <row r="91" spans="1:9" x14ac:dyDescent="0.25">
      <c r="A91" s="22" t="s">
        <v>14</v>
      </c>
      <c r="B91" s="5" t="s">
        <v>156</v>
      </c>
      <c r="C91" s="31">
        <v>2530</v>
      </c>
      <c r="D91" s="37">
        <f t="shared" si="4"/>
        <v>5.0599999999999996</v>
      </c>
      <c r="F91" s="22" t="s">
        <v>720</v>
      </c>
      <c r="G91" s="5" t="s">
        <v>721</v>
      </c>
      <c r="H91" s="31">
        <v>8783</v>
      </c>
      <c r="I91" s="32">
        <f t="shared" si="5"/>
        <v>17.565999999999999</v>
      </c>
    </row>
    <row r="92" spans="1:9" x14ac:dyDescent="0.25">
      <c r="A92" s="22" t="s">
        <v>157</v>
      </c>
      <c r="B92" s="5" t="s">
        <v>158</v>
      </c>
      <c r="C92" s="31">
        <v>1274</v>
      </c>
      <c r="D92" s="37">
        <f t="shared" si="4"/>
        <v>2.548</v>
      </c>
      <c r="F92" s="22" t="s">
        <v>644</v>
      </c>
      <c r="G92" s="5" t="s">
        <v>373</v>
      </c>
      <c r="H92" s="31">
        <v>1004</v>
      </c>
      <c r="I92" s="32">
        <f t="shared" si="5"/>
        <v>2.008</v>
      </c>
    </row>
    <row r="93" spans="1:9" x14ac:dyDescent="0.25">
      <c r="A93" s="22" t="s">
        <v>42</v>
      </c>
      <c r="B93" s="5" t="s">
        <v>159</v>
      </c>
      <c r="C93" s="31">
        <v>346</v>
      </c>
      <c r="D93" s="37">
        <f t="shared" si="4"/>
        <v>0.69199999999999995</v>
      </c>
      <c r="F93" s="22" t="s">
        <v>722</v>
      </c>
      <c r="G93" s="5" t="s">
        <v>723</v>
      </c>
      <c r="H93" s="31">
        <v>10045</v>
      </c>
      <c r="I93" s="32">
        <f t="shared" si="5"/>
        <v>20.09</v>
      </c>
    </row>
    <row r="94" spans="1:9" x14ac:dyDescent="0.25">
      <c r="A94" s="22" t="s">
        <v>38</v>
      </c>
      <c r="B94" s="5" t="s">
        <v>160</v>
      </c>
      <c r="C94" s="31">
        <v>6837</v>
      </c>
      <c r="D94" s="37">
        <f t="shared" si="4"/>
        <v>13.673999999999999</v>
      </c>
      <c r="F94" s="22" t="s">
        <v>724</v>
      </c>
      <c r="G94" s="5" t="s">
        <v>374</v>
      </c>
      <c r="H94" s="31">
        <v>7121</v>
      </c>
      <c r="I94" s="32">
        <f t="shared" si="5"/>
        <v>14.242000000000001</v>
      </c>
    </row>
    <row r="95" spans="1:9" x14ac:dyDescent="0.25">
      <c r="A95" s="22" t="s">
        <v>29</v>
      </c>
      <c r="B95" s="5" t="s">
        <v>161</v>
      </c>
      <c r="C95" s="31">
        <v>294</v>
      </c>
      <c r="D95" s="37">
        <f t="shared" si="4"/>
        <v>0.58799999999999997</v>
      </c>
      <c r="F95" s="22" t="s">
        <v>725</v>
      </c>
      <c r="G95" s="5" t="s">
        <v>376</v>
      </c>
      <c r="H95" s="31">
        <v>5640</v>
      </c>
      <c r="I95" s="32">
        <f t="shared" si="5"/>
        <v>11.28</v>
      </c>
    </row>
    <row r="96" spans="1:9" x14ac:dyDescent="0.25">
      <c r="A96" s="22" t="s">
        <v>163</v>
      </c>
      <c r="B96" s="5" t="s">
        <v>164</v>
      </c>
      <c r="C96" s="31">
        <v>375</v>
      </c>
      <c r="D96" s="37">
        <f t="shared" si="4"/>
        <v>0.75</v>
      </c>
      <c r="F96" s="22" t="s">
        <v>726</v>
      </c>
      <c r="G96" s="5" t="s">
        <v>377</v>
      </c>
      <c r="H96" s="31">
        <v>2832</v>
      </c>
      <c r="I96" s="32">
        <f t="shared" si="5"/>
        <v>5.6639999999999997</v>
      </c>
    </row>
    <row r="97" spans="1:9" x14ac:dyDescent="0.25">
      <c r="A97" s="22" t="s">
        <v>35</v>
      </c>
      <c r="B97" s="5" t="s">
        <v>165</v>
      </c>
      <c r="C97" s="31">
        <v>2132</v>
      </c>
      <c r="D97" s="37">
        <f t="shared" si="4"/>
        <v>4.2640000000000002</v>
      </c>
      <c r="F97" s="22" t="s">
        <v>727</v>
      </c>
      <c r="G97" s="5" t="s">
        <v>379</v>
      </c>
      <c r="H97" s="31">
        <v>785</v>
      </c>
      <c r="I97" s="32">
        <f t="shared" si="5"/>
        <v>1.57</v>
      </c>
    </row>
    <row r="98" spans="1:9" x14ac:dyDescent="0.25">
      <c r="A98" s="22" t="s">
        <v>33</v>
      </c>
      <c r="B98" s="5" t="s">
        <v>166</v>
      </c>
      <c r="C98" s="31">
        <v>0</v>
      </c>
      <c r="D98" s="37">
        <f t="shared" si="4"/>
        <v>0</v>
      </c>
      <c r="F98" s="22" t="s">
        <v>230</v>
      </c>
      <c r="G98" s="5" t="s">
        <v>381</v>
      </c>
      <c r="H98" s="31">
        <v>2384</v>
      </c>
      <c r="I98" s="32">
        <f t="shared" si="5"/>
        <v>4.7679999999999998</v>
      </c>
    </row>
    <row r="99" spans="1:9" x14ac:dyDescent="0.25">
      <c r="A99" s="22" t="s">
        <v>167</v>
      </c>
      <c r="B99" s="5" t="s">
        <v>168</v>
      </c>
      <c r="C99" s="31">
        <v>871</v>
      </c>
      <c r="D99" s="37">
        <f t="shared" si="4"/>
        <v>1.742</v>
      </c>
      <c r="F99" s="22" t="s">
        <v>728</v>
      </c>
      <c r="G99" s="5" t="s">
        <v>383</v>
      </c>
      <c r="H99" s="31">
        <v>5932</v>
      </c>
      <c r="I99" s="32">
        <f t="shared" si="5"/>
        <v>11.864000000000001</v>
      </c>
    </row>
    <row r="100" spans="1:9" x14ac:dyDescent="0.25">
      <c r="A100" s="22" t="s">
        <v>57</v>
      </c>
      <c r="B100" s="5" t="s">
        <v>169</v>
      </c>
      <c r="C100" s="31">
        <v>1452</v>
      </c>
      <c r="D100" s="37">
        <f t="shared" si="4"/>
        <v>2.9039999999999999</v>
      </c>
      <c r="F100" s="22" t="s">
        <v>729</v>
      </c>
      <c r="G100" s="5" t="s">
        <v>385</v>
      </c>
      <c r="H100" s="31">
        <v>672</v>
      </c>
      <c r="I100" s="32">
        <f t="shared" si="5"/>
        <v>1.3440000000000001</v>
      </c>
    </row>
    <row r="101" spans="1:9" x14ac:dyDescent="0.25">
      <c r="A101" s="22" t="s">
        <v>170</v>
      </c>
      <c r="B101" s="5" t="s">
        <v>171</v>
      </c>
      <c r="C101" s="31">
        <v>138</v>
      </c>
      <c r="D101" s="37">
        <f t="shared" si="4"/>
        <v>0.27600000000000002</v>
      </c>
      <c r="F101" s="22" t="s">
        <v>730</v>
      </c>
      <c r="G101" s="5" t="s">
        <v>387</v>
      </c>
      <c r="H101" s="31">
        <v>1333</v>
      </c>
      <c r="I101" s="32">
        <f t="shared" si="5"/>
        <v>2.6659999999999999</v>
      </c>
    </row>
    <row r="102" spans="1:9" x14ac:dyDescent="0.25">
      <c r="A102" s="22" t="s">
        <v>35</v>
      </c>
      <c r="B102" s="5" t="s">
        <v>172</v>
      </c>
      <c r="C102" s="31">
        <v>1388</v>
      </c>
      <c r="D102" s="37">
        <f t="shared" si="4"/>
        <v>2.7759999999999998</v>
      </c>
      <c r="F102" s="22" t="s">
        <v>674</v>
      </c>
      <c r="G102" s="5" t="s">
        <v>388</v>
      </c>
      <c r="H102" s="31">
        <v>4034</v>
      </c>
      <c r="I102" s="32">
        <f t="shared" si="5"/>
        <v>8.0679999999999996</v>
      </c>
    </row>
    <row r="103" spans="1:9" x14ac:dyDescent="0.25">
      <c r="A103" s="22" t="s">
        <v>10</v>
      </c>
      <c r="B103" s="5" t="s">
        <v>173</v>
      </c>
      <c r="C103" s="31">
        <v>194</v>
      </c>
      <c r="D103" s="37">
        <f t="shared" si="4"/>
        <v>0.38800000000000001</v>
      </c>
      <c r="F103" s="22" t="s">
        <v>731</v>
      </c>
      <c r="G103" s="5" t="s">
        <v>390</v>
      </c>
      <c r="H103" s="31">
        <v>862</v>
      </c>
      <c r="I103" s="32">
        <f t="shared" si="5"/>
        <v>1.724</v>
      </c>
    </row>
    <row r="104" spans="1:9" x14ac:dyDescent="0.25">
      <c r="A104" s="22" t="s">
        <v>48</v>
      </c>
      <c r="B104" s="5" t="s">
        <v>174</v>
      </c>
      <c r="C104" s="31">
        <v>360</v>
      </c>
      <c r="D104" s="37">
        <f t="shared" si="4"/>
        <v>0.72</v>
      </c>
      <c r="F104" s="22" t="s">
        <v>732</v>
      </c>
      <c r="G104" s="5" t="s">
        <v>392</v>
      </c>
      <c r="H104" s="31">
        <v>144</v>
      </c>
      <c r="I104" s="32">
        <f t="shared" si="5"/>
        <v>0.28799999999999998</v>
      </c>
    </row>
    <row r="105" spans="1:9" x14ac:dyDescent="0.25">
      <c r="A105" s="22" t="s">
        <v>175</v>
      </c>
      <c r="B105" s="5" t="s">
        <v>176</v>
      </c>
      <c r="C105" s="31">
        <v>66</v>
      </c>
      <c r="D105" s="37">
        <f t="shared" si="4"/>
        <v>0.13200000000000001</v>
      </c>
      <c r="F105" s="22" t="s">
        <v>733</v>
      </c>
      <c r="G105" s="5" t="s">
        <v>394</v>
      </c>
      <c r="H105" s="31">
        <v>989</v>
      </c>
      <c r="I105" s="32">
        <f t="shared" si="5"/>
        <v>1.978</v>
      </c>
    </row>
    <row r="106" spans="1:9" x14ac:dyDescent="0.25">
      <c r="A106" s="22" t="s">
        <v>177</v>
      </c>
      <c r="B106" s="5" t="s">
        <v>178</v>
      </c>
      <c r="C106" s="31">
        <v>1729</v>
      </c>
      <c r="D106" s="37">
        <f t="shared" si="4"/>
        <v>3.4580000000000002</v>
      </c>
      <c r="F106" s="22" t="s">
        <v>734</v>
      </c>
      <c r="G106" s="5" t="s">
        <v>736</v>
      </c>
      <c r="H106" s="31">
        <v>4440</v>
      </c>
      <c r="I106" s="32">
        <f t="shared" si="5"/>
        <v>8.8800000000000008</v>
      </c>
    </row>
    <row r="107" spans="1:9" x14ac:dyDescent="0.25">
      <c r="A107" s="22" t="s">
        <v>22</v>
      </c>
      <c r="B107" s="5" t="s">
        <v>179</v>
      </c>
      <c r="C107" s="31">
        <v>2063</v>
      </c>
      <c r="D107" s="37">
        <f t="shared" si="4"/>
        <v>4.1260000000000003</v>
      </c>
      <c r="F107" s="22" t="s">
        <v>740</v>
      </c>
      <c r="G107" s="5" t="s">
        <v>396</v>
      </c>
      <c r="H107" s="31">
        <v>1058</v>
      </c>
      <c r="I107" s="32">
        <f t="shared" si="5"/>
        <v>2.1160000000000001</v>
      </c>
    </row>
    <row r="108" spans="1:9" x14ac:dyDescent="0.25">
      <c r="A108" s="22" t="s">
        <v>77</v>
      </c>
      <c r="B108" s="5" t="s">
        <v>180</v>
      </c>
      <c r="C108" s="31">
        <v>1598</v>
      </c>
      <c r="D108" s="37">
        <f t="shared" si="4"/>
        <v>3.1960000000000002</v>
      </c>
      <c r="F108" s="22" t="s">
        <v>741</v>
      </c>
      <c r="G108" s="5" t="s">
        <v>398</v>
      </c>
      <c r="H108" s="31">
        <v>3581</v>
      </c>
      <c r="I108" s="32">
        <f t="shared" si="5"/>
        <v>7.1619999999999999</v>
      </c>
    </row>
    <row r="109" spans="1:9" x14ac:dyDescent="0.25">
      <c r="A109" s="22" t="s">
        <v>113</v>
      </c>
      <c r="B109" s="5" t="s">
        <v>181</v>
      </c>
      <c r="C109" s="31">
        <v>177</v>
      </c>
      <c r="D109" s="37">
        <f t="shared" si="4"/>
        <v>0.35399999999999998</v>
      </c>
      <c r="F109" s="22" t="s">
        <v>742</v>
      </c>
      <c r="G109" s="5" t="s">
        <v>400</v>
      </c>
      <c r="H109" s="31">
        <v>76</v>
      </c>
      <c r="I109" s="32">
        <f t="shared" si="5"/>
        <v>0.152</v>
      </c>
    </row>
    <row r="110" spans="1:9" x14ac:dyDescent="0.25">
      <c r="A110" s="22" t="s">
        <v>35</v>
      </c>
      <c r="B110" s="5" t="s">
        <v>182</v>
      </c>
      <c r="C110" s="31">
        <v>0</v>
      </c>
      <c r="D110" s="37">
        <f t="shared" si="4"/>
        <v>0</v>
      </c>
      <c r="F110" s="22" t="s">
        <v>743</v>
      </c>
      <c r="G110" s="5" t="s">
        <v>402</v>
      </c>
      <c r="H110" s="31">
        <v>820</v>
      </c>
      <c r="I110" s="32">
        <f t="shared" si="5"/>
        <v>1.64</v>
      </c>
    </row>
    <row r="111" spans="1:9" x14ac:dyDescent="0.25">
      <c r="A111" s="22" t="s">
        <v>183</v>
      </c>
      <c r="B111" s="5" t="s">
        <v>184</v>
      </c>
      <c r="C111" s="31">
        <v>2777</v>
      </c>
      <c r="D111" s="37">
        <f t="shared" si="4"/>
        <v>5.5540000000000003</v>
      </c>
      <c r="F111" s="22" t="s">
        <v>744</v>
      </c>
      <c r="G111" s="5" t="s">
        <v>404</v>
      </c>
      <c r="H111" s="31">
        <v>433</v>
      </c>
      <c r="I111" s="32">
        <f t="shared" si="5"/>
        <v>0.86599999999999999</v>
      </c>
    </row>
    <row r="112" spans="1:9" x14ac:dyDescent="0.25">
      <c r="A112" s="22" t="s">
        <v>22</v>
      </c>
      <c r="B112" s="5" t="s">
        <v>222</v>
      </c>
      <c r="C112" s="31">
        <v>880</v>
      </c>
      <c r="D112" s="37">
        <f t="shared" si="4"/>
        <v>1.76</v>
      </c>
      <c r="F112" s="22" t="s">
        <v>745</v>
      </c>
      <c r="G112" s="5" t="s">
        <v>406</v>
      </c>
      <c r="H112" s="31">
        <v>391</v>
      </c>
      <c r="I112" s="32">
        <f t="shared" si="5"/>
        <v>0.78200000000000003</v>
      </c>
    </row>
    <row r="113" spans="1:9" x14ac:dyDescent="0.25">
      <c r="A113" s="22" t="s">
        <v>186</v>
      </c>
      <c r="B113" s="5" t="s">
        <v>187</v>
      </c>
      <c r="C113" s="31">
        <v>0</v>
      </c>
      <c r="D113" s="37">
        <f t="shared" si="4"/>
        <v>0</v>
      </c>
      <c r="F113" s="22" t="s">
        <v>746</v>
      </c>
      <c r="G113" s="5" t="s">
        <v>408</v>
      </c>
      <c r="H113" s="31">
        <v>2228</v>
      </c>
      <c r="I113" s="32">
        <f t="shared" si="5"/>
        <v>4.4560000000000004</v>
      </c>
    </row>
    <row r="114" spans="1:9" x14ac:dyDescent="0.25">
      <c r="A114" s="22" t="s">
        <v>188</v>
      </c>
      <c r="B114" s="5" t="s">
        <v>189</v>
      </c>
      <c r="C114" s="31">
        <v>634</v>
      </c>
      <c r="D114" s="37">
        <f t="shared" si="4"/>
        <v>1.268</v>
      </c>
      <c r="F114" s="22" t="s">
        <v>747</v>
      </c>
      <c r="G114" s="5" t="s">
        <v>410</v>
      </c>
      <c r="H114" s="31">
        <v>0</v>
      </c>
      <c r="I114" s="32">
        <f t="shared" si="5"/>
        <v>0</v>
      </c>
    </row>
    <row r="115" spans="1:9" x14ac:dyDescent="0.25">
      <c r="A115" s="22" t="s">
        <v>190</v>
      </c>
      <c r="B115" s="5" t="s">
        <v>191</v>
      </c>
      <c r="C115" s="31">
        <v>108</v>
      </c>
      <c r="D115" s="37">
        <f t="shared" si="4"/>
        <v>0.216</v>
      </c>
      <c r="F115" s="22" t="s">
        <v>748</v>
      </c>
      <c r="G115" s="5" t="s">
        <v>412</v>
      </c>
      <c r="H115" s="31">
        <v>791</v>
      </c>
      <c r="I115" s="32">
        <f t="shared" si="5"/>
        <v>1.5820000000000001</v>
      </c>
    </row>
    <row r="116" spans="1:9" x14ac:dyDescent="0.25">
      <c r="A116" s="22" t="s">
        <v>44</v>
      </c>
      <c r="B116" s="5" t="s">
        <v>192</v>
      </c>
      <c r="C116" s="31">
        <v>110</v>
      </c>
      <c r="D116" s="37">
        <f t="shared" si="4"/>
        <v>0.22</v>
      </c>
      <c r="F116" s="22" t="s">
        <v>749</v>
      </c>
      <c r="G116" s="5" t="s">
        <v>414</v>
      </c>
      <c r="H116" s="31">
        <v>537</v>
      </c>
      <c r="I116" s="32">
        <f t="shared" si="5"/>
        <v>1.0740000000000001</v>
      </c>
    </row>
    <row r="117" spans="1:9" x14ac:dyDescent="0.25">
      <c r="A117" s="22" t="s">
        <v>193</v>
      </c>
      <c r="B117" s="5" t="s">
        <v>194</v>
      </c>
      <c r="C117" s="31">
        <v>128</v>
      </c>
      <c r="D117" s="37">
        <f t="shared" si="4"/>
        <v>0.25600000000000001</v>
      </c>
      <c r="F117" s="22" t="s">
        <v>694</v>
      </c>
      <c r="G117" s="5" t="s">
        <v>415</v>
      </c>
      <c r="H117" s="31">
        <v>1121</v>
      </c>
      <c r="I117" s="32">
        <f t="shared" si="5"/>
        <v>2.242</v>
      </c>
    </row>
    <row r="118" spans="1:9" x14ac:dyDescent="0.25">
      <c r="A118" s="22" t="s">
        <v>3</v>
      </c>
      <c r="B118" s="5" t="s">
        <v>195</v>
      </c>
      <c r="C118" s="31">
        <v>1497</v>
      </c>
      <c r="D118" s="37">
        <f t="shared" si="4"/>
        <v>2.9940000000000002</v>
      </c>
      <c r="F118" s="22" t="s">
        <v>750</v>
      </c>
      <c r="G118" s="5" t="s">
        <v>417</v>
      </c>
      <c r="H118" s="31">
        <v>408</v>
      </c>
      <c r="I118" s="32">
        <f t="shared" si="5"/>
        <v>0.81599999999999995</v>
      </c>
    </row>
    <row r="119" spans="1:9" x14ac:dyDescent="0.25">
      <c r="A119" s="22" t="s">
        <v>22</v>
      </c>
      <c r="B119" s="5" t="s">
        <v>196</v>
      </c>
      <c r="C119" s="31">
        <v>4281</v>
      </c>
      <c r="D119" s="37">
        <f t="shared" si="4"/>
        <v>8.5619999999999994</v>
      </c>
      <c r="F119" s="22" t="s">
        <v>751</v>
      </c>
      <c r="G119" s="5" t="s">
        <v>419</v>
      </c>
      <c r="H119" s="31">
        <v>8484</v>
      </c>
      <c r="I119" s="32">
        <f t="shared" si="5"/>
        <v>16.968</v>
      </c>
    </row>
    <row r="120" spans="1:9" x14ac:dyDescent="0.25">
      <c r="A120" s="22" t="s">
        <v>149</v>
      </c>
      <c r="B120" s="5" t="s">
        <v>197</v>
      </c>
      <c r="C120" s="31">
        <v>403</v>
      </c>
      <c r="D120" s="37">
        <f t="shared" si="4"/>
        <v>0.80600000000000005</v>
      </c>
      <c r="F120" s="22" t="s">
        <v>663</v>
      </c>
      <c r="G120" s="5" t="s">
        <v>421</v>
      </c>
      <c r="H120" s="31">
        <v>0</v>
      </c>
      <c r="I120" s="32">
        <f t="shared" si="5"/>
        <v>0</v>
      </c>
    </row>
    <row r="121" spans="1:9" x14ac:dyDescent="0.25">
      <c r="A121" s="22" t="s">
        <v>198</v>
      </c>
      <c r="B121" s="5" t="s">
        <v>199</v>
      </c>
      <c r="C121" s="31">
        <v>346</v>
      </c>
      <c r="D121" s="37">
        <f t="shared" si="4"/>
        <v>0.69199999999999995</v>
      </c>
      <c r="F121" s="22" t="s">
        <v>752</v>
      </c>
      <c r="G121" s="5" t="s">
        <v>753</v>
      </c>
      <c r="H121" s="31">
        <v>3231</v>
      </c>
      <c r="I121" s="32">
        <f t="shared" si="5"/>
        <v>6.4619999999999997</v>
      </c>
    </row>
    <row r="122" spans="1:9" x14ac:dyDescent="0.25">
      <c r="A122" s="22" t="s">
        <v>200</v>
      </c>
      <c r="B122" s="5" t="s">
        <v>201</v>
      </c>
      <c r="C122" s="31">
        <v>496</v>
      </c>
      <c r="D122" s="37">
        <f t="shared" si="4"/>
        <v>0.99199999999999999</v>
      </c>
      <c r="F122" s="22" t="s">
        <v>423</v>
      </c>
      <c r="G122" s="5" t="s">
        <v>754</v>
      </c>
      <c r="H122" s="31">
        <v>0</v>
      </c>
      <c r="I122" s="32">
        <f t="shared" si="5"/>
        <v>0</v>
      </c>
    </row>
    <row r="123" spans="1:9" x14ac:dyDescent="0.25">
      <c r="A123" s="22" t="s">
        <v>121</v>
      </c>
      <c r="B123" s="5" t="s">
        <v>202</v>
      </c>
      <c r="C123" s="31">
        <v>838</v>
      </c>
      <c r="D123" s="37">
        <f t="shared" si="4"/>
        <v>1.6759999999999999</v>
      </c>
      <c r="F123" s="22" t="s">
        <v>755</v>
      </c>
      <c r="G123" s="5" t="s">
        <v>422</v>
      </c>
      <c r="H123" s="31">
        <v>8464</v>
      </c>
      <c r="I123" s="32">
        <f t="shared" si="5"/>
        <v>16.928000000000001</v>
      </c>
    </row>
    <row r="124" spans="1:9" ht="15.75" thickBot="1" x14ac:dyDescent="0.3">
      <c r="A124" s="22" t="s">
        <v>203</v>
      </c>
      <c r="B124" s="5" t="s">
        <v>204</v>
      </c>
      <c r="C124" s="31">
        <v>29</v>
      </c>
      <c r="D124" s="37">
        <f t="shared" si="4"/>
        <v>5.8000000000000003E-2</v>
      </c>
      <c r="F124" s="23" t="s">
        <v>756</v>
      </c>
      <c r="G124" s="24" t="s">
        <v>162</v>
      </c>
      <c r="H124" s="33">
        <v>5593</v>
      </c>
      <c r="I124" s="34">
        <f t="shared" si="5"/>
        <v>11.186</v>
      </c>
    </row>
    <row r="125" spans="1:9" x14ac:dyDescent="0.25">
      <c r="A125" s="22" t="s">
        <v>205</v>
      </c>
      <c r="B125" s="5" t="s">
        <v>206</v>
      </c>
      <c r="C125" s="31">
        <v>334</v>
      </c>
      <c r="D125" s="37">
        <f t="shared" si="4"/>
        <v>0.66800000000000004</v>
      </c>
    </row>
    <row r="126" spans="1:9" x14ac:dyDescent="0.25">
      <c r="A126" s="22" t="s">
        <v>100</v>
      </c>
      <c r="B126" s="5" t="s">
        <v>207</v>
      </c>
      <c r="C126" s="31">
        <v>794</v>
      </c>
      <c r="D126" s="37">
        <f t="shared" si="4"/>
        <v>1.5880000000000001</v>
      </c>
    </row>
    <row r="127" spans="1:9" x14ac:dyDescent="0.25">
      <c r="A127" s="22" t="s">
        <v>208</v>
      </c>
      <c r="B127" s="5" t="s">
        <v>209</v>
      </c>
      <c r="C127" s="31">
        <v>665</v>
      </c>
      <c r="D127" s="37">
        <f t="shared" si="4"/>
        <v>1.33</v>
      </c>
    </row>
    <row r="128" spans="1:9" x14ac:dyDescent="0.25">
      <c r="A128" s="22" t="s">
        <v>210</v>
      </c>
      <c r="B128" s="5" t="s">
        <v>211</v>
      </c>
      <c r="C128" s="31">
        <v>728</v>
      </c>
      <c r="D128" s="37">
        <f t="shared" si="4"/>
        <v>1.456</v>
      </c>
    </row>
    <row r="129" spans="1:4" x14ac:dyDescent="0.25">
      <c r="A129" s="22" t="s">
        <v>212</v>
      </c>
      <c r="B129" s="5" t="s">
        <v>213</v>
      </c>
      <c r="C129" s="31">
        <v>433</v>
      </c>
      <c r="D129" s="37">
        <f t="shared" si="4"/>
        <v>0.86599999999999999</v>
      </c>
    </row>
    <row r="130" spans="1:4" x14ac:dyDescent="0.25">
      <c r="A130" s="22" t="s">
        <v>214</v>
      </c>
      <c r="B130" s="5" t="s">
        <v>215</v>
      </c>
      <c r="C130" s="31">
        <v>334</v>
      </c>
      <c r="D130" s="37">
        <f t="shared" si="4"/>
        <v>0.66800000000000004</v>
      </c>
    </row>
    <row r="131" spans="1:4" x14ac:dyDescent="0.25">
      <c r="A131" s="22" t="s">
        <v>216</v>
      </c>
      <c r="B131" s="5" t="s">
        <v>217</v>
      </c>
      <c r="C131" s="31">
        <v>553</v>
      </c>
      <c r="D131" s="37">
        <f t="shared" si="4"/>
        <v>1.1060000000000001</v>
      </c>
    </row>
    <row r="132" spans="1:4" ht="15.75" thickBot="1" x14ac:dyDescent="0.3">
      <c r="A132" s="23" t="s">
        <v>629</v>
      </c>
      <c r="B132" s="24" t="s">
        <v>619</v>
      </c>
      <c r="C132" s="33">
        <v>137</v>
      </c>
      <c r="D132" s="38">
        <f t="shared" ref="D132" si="7">C132/500</f>
        <v>0.27400000000000002</v>
      </c>
    </row>
  </sheetData>
  <mergeCells count="4">
    <mergeCell ref="A1:D1"/>
    <mergeCell ref="F1:I1"/>
    <mergeCell ref="K1:N1"/>
    <mergeCell ref="P1:S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C6886-7025-45C1-9083-510A01D22999}">
  <dimension ref="A1:S131"/>
  <sheetViews>
    <sheetView showGridLines="0" tabSelected="1" workbookViewId="0">
      <selection activeCell="V23" sqref="V23"/>
    </sheetView>
  </sheetViews>
  <sheetFormatPr defaultRowHeight="15" x14ac:dyDescent="0.25"/>
  <cols>
    <col min="1" max="1" width="17.28515625" customWidth="1"/>
    <col min="2" max="2" width="14.28515625" bestFit="1" customWidth="1"/>
    <col min="3" max="4" width="9.140625" style="2"/>
    <col min="5" max="5" width="3.140625" customWidth="1"/>
    <col min="6" max="6" width="15.140625" customWidth="1"/>
    <col min="7" max="7" width="13.7109375" bestFit="1" customWidth="1"/>
    <col min="8" max="9" width="9.140625" style="2"/>
    <col min="10" max="10" width="3.42578125" customWidth="1"/>
    <col min="11" max="11" width="22.7109375" customWidth="1"/>
    <col min="12" max="12" width="13.85546875" bestFit="1" customWidth="1"/>
    <col min="13" max="14" width="9.140625" style="2"/>
    <col min="15" max="15" width="3.28515625" customWidth="1"/>
    <col min="16" max="16" width="21.5703125" customWidth="1"/>
    <col min="17" max="17" width="13.5703125" bestFit="1" customWidth="1"/>
    <col min="18" max="19" width="9.140625" style="2"/>
  </cols>
  <sheetData>
    <row r="1" spans="1:19" ht="16.5" thickBot="1" x14ac:dyDescent="0.3">
      <c r="A1" s="17" t="s">
        <v>223</v>
      </c>
      <c r="B1" s="18"/>
      <c r="C1" s="18"/>
      <c r="D1" s="19"/>
      <c r="F1" s="12" t="s">
        <v>424</v>
      </c>
      <c r="G1" s="13"/>
      <c r="H1" s="13"/>
      <c r="I1" s="16"/>
      <c r="K1" s="12" t="s">
        <v>555</v>
      </c>
      <c r="L1" s="13"/>
      <c r="M1" s="13"/>
      <c r="N1" s="16"/>
      <c r="P1" s="12" t="s">
        <v>620</v>
      </c>
      <c r="Q1" s="13"/>
      <c r="R1" s="13"/>
      <c r="S1" s="16"/>
    </row>
    <row r="2" spans="1:19" ht="15.75" thickBot="1" x14ac:dyDescent="0.3">
      <c r="C2" s="27" t="s">
        <v>631</v>
      </c>
      <c r="D2" s="28" t="s">
        <v>630</v>
      </c>
      <c r="H2" s="35" t="s">
        <v>631</v>
      </c>
      <c r="I2" s="35" t="s">
        <v>630</v>
      </c>
      <c r="M2" s="35" t="s">
        <v>631</v>
      </c>
      <c r="N2" s="35" t="s">
        <v>630</v>
      </c>
      <c r="R2" s="35" t="s">
        <v>631</v>
      </c>
      <c r="S2" s="35" t="s">
        <v>630</v>
      </c>
    </row>
    <row r="3" spans="1:19" x14ac:dyDescent="0.25">
      <c r="A3" s="20" t="s">
        <v>3</v>
      </c>
      <c r="B3" s="21" t="s">
        <v>4</v>
      </c>
      <c r="C3" s="29">
        <v>1843</v>
      </c>
      <c r="D3" s="36">
        <f>C3/500</f>
        <v>3.6859999999999999</v>
      </c>
      <c r="F3" s="20" t="s">
        <v>632</v>
      </c>
      <c r="G3" s="21" t="s">
        <v>225</v>
      </c>
      <c r="H3" s="29">
        <v>4238</v>
      </c>
      <c r="I3" s="36">
        <f>H3/500</f>
        <v>8.4760000000000009</v>
      </c>
      <c r="K3" s="20" t="s">
        <v>425</v>
      </c>
      <c r="L3" s="21" t="s">
        <v>426</v>
      </c>
      <c r="M3" s="29">
        <v>293</v>
      </c>
      <c r="N3" s="36">
        <f>M3/500</f>
        <v>0.58599999999999997</v>
      </c>
      <c r="P3" s="20" t="s">
        <v>556</v>
      </c>
      <c r="Q3" s="21" t="s">
        <v>557</v>
      </c>
      <c r="R3" s="29">
        <v>1607</v>
      </c>
      <c r="S3" s="36">
        <f>R3/500</f>
        <v>3.214</v>
      </c>
    </row>
    <row r="4" spans="1:19" x14ac:dyDescent="0.25">
      <c r="A4" s="22" t="s">
        <v>5</v>
      </c>
      <c r="B4" s="5" t="s">
        <v>6</v>
      </c>
      <c r="C4" s="31">
        <v>13685</v>
      </c>
      <c r="D4" s="37">
        <f t="shared" ref="D4:D67" si="0">C4/500</f>
        <v>27.37</v>
      </c>
      <c r="F4" s="22" t="s">
        <v>633</v>
      </c>
      <c r="G4" s="5" t="s">
        <v>227</v>
      </c>
      <c r="H4" s="31">
        <v>3536</v>
      </c>
      <c r="I4" s="37">
        <f t="shared" ref="I4:I67" si="1">H4/500</f>
        <v>7.0720000000000001</v>
      </c>
      <c r="K4" s="22" t="s">
        <v>427</v>
      </c>
      <c r="L4" s="5" t="s">
        <v>428</v>
      </c>
      <c r="M4" s="31">
        <v>1370</v>
      </c>
      <c r="N4" s="37">
        <f t="shared" ref="N4:N67" si="2">M4/500</f>
        <v>2.74</v>
      </c>
      <c r="P4" s="22" t="s">
        <v>558</v>
      </c>
      <c r="Q4" s="5" t="s">
        <v>559</v>
      </c>
      <c r="R4" s="31">
        <v>6621</v>
      </c>
      <c r="S4" s="37">
        <f t="shared" ref="S4:S34" si="3">R4/500</f>
        <v>13.242000000000001</v>
      </c>
    </row>
    <row r="5" spans="1:19" x14ac:dyDescent="0.25">
      <c r="A5" s="22" t="s">
        <v>7</v>
      </c>
      <c r="B5" s="5" t="s">
        <v>8</v>
      </c>
      <c r="C5" s="31">
        <v>708</v>
      </c>
      <c r="D5" s="37">
        <f t="shared" si="0"/>
        <v>1.4159999999999999</v>
      </c>
      <c r="F5" s="22" t="s">
        <v>758</v>
      </c>
      <c r="G5" s="5" t="s">
        <v>229</v>
      </c>
      <c r="H5" s="31">
        <v>3113</v>
      </c>
      <c r="I5" s="37">
        <f t="shared" si="1"/>
        <v>6.226</v>
      </c>
      <c r="K5" s="22" t="s">
        <v>429</v>
      </c>
      <c r="L5" s="5" t="s">
        <v>430</v>
      </c>
      <c r="M5" s="31">
        <v>4593</v>
      </c>
      <c r="N5" s="37">
        <f t="shared" si="2"/>
        <v>9.1859999999999999</v>
      </c>
      <c r="P5" s="22" t="s">
        <v>560</v>
      </c>
      <c r="Q5" s="5" t="s">
        <v>561</v>
      </c>
      <c r="R5" s="31">
        <v>4522</v>
      </c>
      <c r="S5" s="37">
        <f t="shared" si="3"/>
        <v>9.0440000000000005</v>
      </c>
    </row>
    <row r="6" spans="1:19" x14ac:dyDescent="0.25">
      <c r="A6" s="22" t="s">
        <v>3</v>
      </c>
      <c r="B6" s="5" t="s">
        <v>9</v>
      </c>
      <c r="C6" s="31">
        <v>2140</v>
      </c>
      <c r="D6" s="37">
        <f t="shared" si="0"/>
        <v>4.28</v>
      </c>
      <c r="F6" s="22" t="s">
        <v>230</v>
      </c>
      <c r="G6" s="5" t="s">
        <v>231</v>
      </c>
      <c r="H6" s="31">
        <v>5204</v>
      </c>
      <c r="I6" s="37">
        <f t="shared" si="1"/>
        <v>10.407999999999999</v>
      </c>
      <c r="K6" s="22" t="s">
        <v>431</v>
      </c>
      <c r="L6" s="5" t="s">
        <v>432</v>
      </c>
      <c r="M6" s="31">
        <v>14585</v>
      </c>
      <c r="N6" s="37">
        <f t="shared" si="2"/>
        <v>29.17</v>
      </c>
      <c r="P6" s="22" t="s">
        <v>562</v>
      </c>
      <c r="Q6" s="5" t="s">
        <v>563</v>
      </c>
      <c r="R6" s="31">
        <v>1419</v>
      </c>
      <c r="S6" s="37">
        <f t="shared" si="3"/>
        <v>2.8380000000000001</v>
      </c>
    </row>
    <row r="7" spans="1:19" x14ac:dyDescent="0.25">
      <c r="A7" s="22" t="s">
        <v>10</v>
      </c>
      <c r="B7" s="5" t="s">
        <v>11</v>
      </c>
      <c r="C7" s="31">
        <v>3098</v>
      </c>
      <c r="D7" s="37">
        <f t="shared" si="0"/>
        <v>6.1959999999999997</v>
      </c>
      <c r="F7" s="22" t="s">
        <v>635</v>
      </c>
      <c r="G7" s="5" t="s">
        <v>233</v>
      </c>
      <c r="H7" s="31">
        <v>4287</v>
      </c>
      <c r="I7" s="37">
        <f t="shared" si="1"/>
        <v>8.5739999999999998</v>
      </c>
      <c r="K7" s="22" t="s">
        <v>433</v>
      </c>
      <c r="L7" s="5" t="s">
        <v>434</v>
      </c>
      <c r="M7" s="31">
        <v>655</v>
      </c>
      <c r="N7" s="37">
        <f t="shared" si="2"/>
        <v>1.31</v>
      </c>
      <c r="P7" s="22" t="s">
        <v>564</v>
      </c>
      <c r="Q7" s="5" t="s">
        <v>565</v>
      </c>
      <c r="R7" s="31">
        <v>4876</v>
      </c>
      <c r="S7" s="37">
        <f t="shared" si="3"/>
        <v>9.7520000000000007</v>
      </c>
    </row>
    <row r="8" spans="1:19" x14ac:dyDescent="0.25">
      <c r="A8" s="22" t="s">
        <v>12</v>
      </c>
      <c r="B8" s="5" t="s">
        <v>218</v>
      </c>
      <c r="C8" s="31">
        <v>778</v>
      </c>
      <c r="D8" s="37">
        <f t="shared" si="0"/>
        <v>1.556</v>
      </c>
      <c r="F8" s="22" t="s">
        <v>636</v>
      </c>
      <c r="G8" s="5" t="s">
        <v>235</v>
      </c>
      <c r="H8" s="31">
        <v>6341</v>
      </c>
      <c r="I8" s="37">
        <f t="shared" si="1"/>
        <v>12.682</v>
      </c>
      <c r="K8" s="22" t="s">
        <v>435</v>
      </c>
      <c r="L8" s="5" t="s">
        <v>436</v>
      </c>
      <c r="M8" s="31">
        <v>3709</v>
      </c>
      <c r="N8" s="37">
        <f t="shared" si="2"/>
        <v>7.4180000000000001</v>
      </c>
      <c r="P8" s="22" t="s">
        <v>566</v>
      </c>
      <c r="Q8" s="5" t="s">
        <v>567</v>
      </c>
      <c r="R8" s="31">
        <v>28635</v>
      </c>
      <c r="S8" s="37">
        <f t="shared" si="3"/>
        <v>57.27</v>
      </c>
    </row>
    <row r="9" spans="1:19" x14ac:dyDescent="0.25">
      <c r="A9" s="22" t="s">
        <v>14</v>
      </c>
      <c r="B9" s="5" t="s">
        <v>15</v>
      </c>
      <c r="C9" s="31">
        <v>1600</v>
      </c>
      <c r="D9" s="37">
        <f t="shared" si="0"/>
        <v>3.2</v>
      </c>
      <c r="F9" s="22" t="s">
        <v>637</v>
      </c>
      <c r="G9" s="5" t="s">
        <v>237</v>
      </c>
      <c r="H9" s="31">
        <v>3248</v>
      </c>
      <c r="I9" s="37">
        <f t="shared" si="1"/>
        <v>6.4960000000000004</v>
      </c>
      <c r="K9" s="22" t="s">
        <v>437</v>
      </c>
      <c r="L9" s="5" t="s">
        <v>438</v>
      </c>
      <c r="M9" s="31">
        <v>437</v>
      </c>
      <c r="N9" s="37">
        <f t="shared" si="2"/>
        <v>0.874</v>
      </c>
      <c r="P9" s="22" t="s">
        <v>568</v>
      </c>
      <c r="Q9" s="5" t="s">
        <v>569</v>
      </c>
      <c r="R9" s="31">
        <v>2640</v>
      </c>
      <c r="S9" s="37">
        <f t="shared" si="3"/>
        <v>5.28</v>
      </c>
    </row>
    <row r="10" spans="1:19" x14ac:dyDescent="0.25">
      <c r="A10" s="22" t="s">
        <v>16</v>
      </c>
      <c r="B10" s="5" t="s">
        <v>17</v>
      </c>
      <c r="C10" s="31">
        <v>176</v>
      </c>
      <c r="D10" s="37">
        <f t="shared" si="0"/>
        <v>0.35199999999999998</v>
      </c>
      <c r="F10" s="22" t="s">
        <v>638</v>
      </c>
      <c r="G10" s="5" t="s">
        <v>239</v>
      </c>
      <c r="H10" s="31">
        <v>4828</v>
      </c>
      <c r="I10" s="37">
        <f t="shared" si="1"/>
        <v>9.6560000000000006</v>
      </c>
      <c r="K10" s="22" t="s">
        <v>439</v>
      </c>
      <c r="L10" s="5" t="s">
        <v>440</v>
      </c>
      <c r="M10" s="31">
        <v>263</v>
      </c>
      <c r="N10" s="37">
        <f t="shared" si="2"/>
        <v>0.52600000000000002</v>
      </c>
      <c r="P10" s="22" t="s">
        <v>570</v>
      </c>
      <c r="Q10" s="5" t="s">
        <v>571</v>
      </c>
      <c r="R10" s="31">
        <v>3308</v>
      </c>
      <c r="S10" s="37">
        <f t="shared" si="3"/>
        <v>6.6159999999999997</v>
      </c>
    </row>
    <row r="11" spans="1:19" x14ac:dyDescent="0.25">
      <c r="A11" s="22" t="s">
        <v>18</v>
      </c>
      <c r="B11" s="5" t="s">
        <v>19</v>
      </c>
      <c r="C11" s="31">
        <v>2229</v>
      </c>
      <c r="D11" s="37">
        <f t="shared" si="0"/>
        <v>4.4580000000000002</v>
      </c>
      <c r="F11" s="22" t="s">
        <v>639</v>
      </c>
      <c r="G11" s="5" t="s">
        <v>241</v>
      </c>
      <c r="H11" s="31">
        <v>2956</v>
      </c>
      <c r="I11" s="37">
        <f t="shared" si="1"/>
        <v>5.9119999999999999</v>
      </c>
      <c r="K11" s="22" t="s">
        <v>441</v>
      </c>
      <c r="L11" s="5" t="s">
        <v>442</v>
      </c>
      <c r="M11" s="31">
        <v>1977</v>
      </c>
      <c r="N11" s="37">
        <f t="shared" si="2"/>
        <v>3.9540000000000002</v>
      </c>
      <c r="P11" s="22" t="s">
        <v>572</v>
      </c>
      <c r="Q11" s="5" t="s">
        <v>573</v>
      </c>
      <c r="R11" s="31">
        <v>5959</v>
      </c>
      <c r="S11" s="37">
        <f t="shared" si="3"/>
        <v>11.917999999999999</v>
      </c>
    </row>
    <row r="12" spans="1:19" x14ac:dyDescent="0.25">
      <c r="A12" s="22" t="s">
        <v>20</v>
      </c>
      <c r="B12" s="5" t="s">
        <v>21</v>
      </c>
      <c r="C12" s="31">
        <v>872</v>
      </c>
      <c r="D12" s="37">
        <f t="shared" si="0"/>
        <v>1.744</v>
      </c>
      <c r="F12" s="22" t="s">
        <v>640</v>
      </c>
      <c r="G12" s="5" t="s">
        <v>641</v>
      </c>
      <c r="H12" s="31">
        <v>3347</v>
      </c>
      <c r="I12" s="37">
        <f t="shared" si="1"/>
        <v>6.694</v>
      </c>
      <c r="K12" s="22" t="s">
        <v>443</v>
      </c>
      <c r="L12" s="5" t="s">
        <v>444</v>
      </c>
      <c r="M12" s="31">
        <v>930</v>
      </c>
      <c r="N12" s="37">
        <f t="shared" si="2"/>
        <v>1.86</v>
      </c>
      <c r="P12" s="22" t="s">
        <v>574</v>
      </c>
      <c r="Q12" s="5" t="s">
        <v>575</v>
      </c>
      <c r="R12" s="31">
        <v>5345</v>
      </c>
      <c r="S12" s="37">
        <f t="shared" si="3"/>
        <v>10.69</v>
      </c>
    </row>
    <row r="13" spans="1:19" x14ac:dyDescent="0.25">
      <c r="A13" s="22" t="s">
        <v>22</v>
      </c>
      <c r="B13" s="5" t="s">
        <v>23</v>
      </c>
      <c r="C13" s="31">
        <v>6245</v>
      </c>
      <c r="D13" s="37">
        <f t="shared" si="0"/>
        <v>12.49</v>
      </c>
      <c r="F13" s="22" t="s">
        <v>642</v>
      </c>
      <c r="G13" s="5" t="s">
        <v>243</v>
      </c>
      <c r="H13" s="31">
        <v>572</v>
      </c>
      <c r="I13" s="37">
        <f t="shared" si="1"/>
        <v>1.1439999999999999</v>
      </c>
      <c r="K13" s="22" t="s">
        <v>445</v>
      </c>
      <c r="L13" s="5" t="s">
        <v>446</v>
      </c>
      <c r="M13" s="31">
        <v>249</v>
      </c>
      <c r="N13" s="37">
        <f t="shared" si="2"/>
        <v>0.498</v>
      </c>
      <c r="P13" s="22" t="s">
        <v>576</v>
      </c>
      <c r="Q13" s="5" t="s">
        <v>577</v>
      </c>
      <c r="R13" s="31">
        <v>5405</v>
      </c>
      <c r="S13" s="37">
        <f t="shared" si="3"/>
        <v>10.81</v>
      </c>
    </row>
    <row r="14" spans="1:19" x14ac:dyDescent="0.25">
      <c r="A14" s="22" t="s">
        <v>24</v>
      </c>
      <c r="B14" s="5" t="s">
        <v>25</v>
      </c>
      <c r="C14" s="31">
        <v>1741</v>
      </c>
      <c r="D14" s="37">
        <f t="shared" si="0"/>
        <v>3.4820000000000002</v>
      </c>
      <c r="F14" s="22" t="s">
        <v>643</v>
      </c>
      <c r="G14" s="5" t="s">
        <v>244</v>
      </c>
      <c r="H14" s="31">
        <v>2793</v>
      </c>
      <c r="I14" s="37">
        <f t="shared" si="1"/>
        <v>5.5860000000000003</v>
      </c>
      <c r="K14" s="22" t="s">
        <v>447</v>
      </c>
      <c r="L14" s="5" t="s">
        <v>448</v>
      </c>
      <c r="M14" s="31">
        <v>1308</v>
      </c>
      <c r="N14" s="37">
        <f t="shared" si="2"/>
        <v>2.6160000000000001</v>
      </c>
      <c r="P14" s="22" t="s">
        <v>578</v>
      </c>
      <c r="Q14" s="5" t="s">
        <v>579</v>
      </c>
      <c r="R14" s="31">
        <v>10672</v>
      </c>
      <c r="S14" s="37">
        <f t="shared" si="3"/>
        <v>21.344000000000001</v>
      </c>
    </row>
    <row r="15" spans="1:19" x14ac:dyDescent="0.25">
      <c r="A15" s="22" t="s">
        <v>26</v>
      </c>
      <c r="B15" s="5" t="s">
        <v>27</v>
      </c>
      <c r="C15" s="31">
        <v>322</v>
      </c>
      <c r="D15" s="37">
        <f t="shared" si="0"/>
        <v>0.64400000000000002</v>
      </c>
      <c r="F15" s="22" t="s">
        <v>644</v>
      </c>
      <c r="G15" s="5" t="s">
        <v>246</v>
      </c>
      <c r="H15" s="31">
        <v>3164</v>
      </c>
      <c r="I15" s="37">
        <f t="shared" si="1"/>
        <v>6.3280000000000003</v>
      </c>
      <c r="K15" s="22" t="s">
        <v>449</v>
      </c>
      <c r="L15" s="5" t="s">
        <v>450</v>
      </c>
      <c r="M15" s="31">
        <v>4964</v>
      </c>
      <c r="N15" s="37">
        <f t="shared" si="2"/>
        <v>9.9280000000000008</v>
      </c>
      <c r="P15" s="22" t="s">
        <v>580</v>
      </c>
      <c r="Q15" s="5" t="s">
        <v>581</v>
      </c>
      <c r="R15" s="31">
        <v>6498</v>
      </c>
      <c r="S15" s="37">
        <f t="shared" si="3"/>
        <v>12.996</v>
      </c>
    </row>
    <row r="16" spans="1:19" x14ac:dyDescent="0.25">
      <c r="A16" s="22" t="s">
        <v>22</v>
      </c>
      <c r="B16" s="5" t="s">
        <v>28</v>
      </c>
      <c r="C16" s="31">
        <v>986</v>
      </c>
      <c r="D16" s="37">
        <f t="shared" si="0"/>
        <v>1.972</v>
      </c>
      <c r="F16" s="22" t="s">
        <v>645</v>
      </c>
      <c r="G16" s="5" t="s">
        <v>248</v>
      </c>
      <c r="H16" s="31">
        <v>5057</v>
      </c>
      <c r="I16" s="37">
        <f t="shared" si="1"/>
        <v>10.114000000000001</v>
      </c>
      <c r="K16" s="22" t="s">
        <v>451</v>
      </c>
      <c r="L16" s="5" t="s">
        <v>452</v>
      </c>
      <c r="M16" s="31">
        <v>2044</v>
      </c>
      <c r="N16" s="37">
        <f t="shared" si="2"/>
        <v>4.0880000000000001</v>
      </c>
      <c r="P16" s="22" t="s">
        <v>582</v>
      </c>
      <c r="Q16" s="5" t="s">
        <v>583</v>
      </c>
      <c r="R16" s="31">
        <v>62</v>
      </c>
      <c r="S16" s="37">
        <f t="shared" si="3"/>
        <v>0.124</v>
      </c>
    </row>
    <row r="17" spans="1:19" x14ac:dyDescent="0.25">
      <c r="A17" s="22" t="s">
        <v>29</v>
      </c>
      <c r="B17" s="5" t="s">
        <v>30</v>
      </c>
      <c r="C17" s="31">
        <v>1525</v>
      </c>
      <c r="D17" s="37">
        <f t="shared" si="0"/>
        <v>3.05</v>
      </c>
      <c r="F17" s="22" t="s">
        <v>646</v>
      </c>
      <c r="G17" s="5" t="s">
        <v>250</v>
      </c>
      <c r="H17" s="31">
        <v>4007</v>
      </c>
      <c r="I17" s="37">
        <f t="shared" si="1"/>
        <v>8.0139999999999993</v>
      </c>
      <c r="K17" s="22" t="s">
        <v>453</v>
      </c>
      <c r="L17" s="5" t="s">
        <v>454</v>
      </c>
      <c r="M17" s="31">
        <v>7328</v>
      </c>
      <c r="N17" s="37">
        <f t="shared" si="2"/>
        <v>14.656000000000001</v>
      </c>
      <c r="P17" s="22" t="s">
        <v>584</v>
      </c>
      <c r="Q17" s="5" t="s">
        <v>585</v>
      </c>
      <c r="R17" s="31">
        <v>3964</v>
      </c>
      <c r="S17" s="37">
        <f t="shared" si="3"/>
        <v>7.9279999999999999</v>
      </c>
    </row>
    <row r="18" spans="1:19" x14ac:dyDescent="0.25">
      <c r="A18" s="22" t="s">
        <v>31</v>
      </c>
      <c r="B18" s="5" t="s">
        <v>32</v>
      </c>
      <c r="C18" s="31">
        <v>1304</v>
      </c>
      <c r="D18" s="37">
        <f t="shared" si="0"/>
        <v>2.6080000000000001</v>
      </c>
      <c r="F18" s="22" t="s">
        <v>647</v>
      </c>
      <c r="G18" s="5" t="s">
        <v>252</v>
      </c>
      <c r="H18" s="31">
        <v>6577</v>
      </c>
      <c r="I18" s="37">
        <f t="shared" si="1"/>
        <v>13.154</v>
      </c>
      <c r="K18" s="22" t="s">
        <v>453</v>
      </c>
      <c r="L18" s="5" t="s">
        <v>455</v>
      </c>
      <c r="M18" s="31">
        <v>4753</v>
      </c>
      <c r="N18" s="37">
        <f t="shared" si="2"/>
        <v>9.5060000000000002</v>
      </c>
      <c r="P18" s="22" t="s">
        <v>586</v>
      </c>
      <c r="Q18" s="5" t="s">
        <v>587</v>
      </c>
      <c r="R18" s="31">
        <v>3955</v>
      </c>
      <c r="S18" s="37">
        <f t="shared" si="3"/>
        <v>7.91</v>
      </c>
    </row>
    <row r="19" spans="1:19" x14ac:dyDescent="0.25">
      <c r="A19" s="22" t="s">
        <v>33</v>
      </c>
      <c r="B19" s="5" t="s">
        <v>34</v>
      </c>
      <c r="C19" s="31">
        <v>2048</v>
      </c>
      <c r="D19" s="37">
        <f t="shared" si="0"/>
        <v>4.0960000000000001</v>
      </c>
      <c r="F19" s="22" t="s">
        <v>648</v>
      </c>
      <c r="G19" s="5" t="s">
        <v>254</v>
      </c>
      <c r="H19" s="31">
        <v>190</v>
      </c>
      <c r="I19" s="37">
        <f t="shared" si="1"/>
        <v>0.38</v>
      </c>
      <c r="K19" s="22" t="s">
        <v>456</v>
      </c>
      <c r="L19" s="5" t="s">
        <v>457</v>
      </c>
      <c r="M19" s="31">
        <v>0</v>
      </c>
      <c r="N19" s="37">
        <f t="shared" si="2"/>
        <v>0</v>
      </c>
      <c r="P19" s="22" t="s">
        <v>588</v>
      </c>
      <c r="Q19" s="5" t="s">
        <v>589</v>
      </c>
      <c r="R19" s="31">
        <v>7307</v>
      </c>
      <c r="S19" s="37">
        <f t="shared" si="3"/>
        <v>14.614000000000001</v>
      </c>
    </row>
    <row r="20" spans="1:19" x14ac:dyDescent="0.25">
      <c r="A20" s="22" t="s">
        <v>35</v>
      </c>
      <c r="B20" s="5" t="s">
        <v>36</v>
      </c>
      <c r="C20" s="31">
        <v>0</v>
      </c>
      <c r="D20" s="37">
        <f t="shared" si="0"/>
        <v>0</v>
      </c>
      <c r="F20" s="22" t="s">
        <v>649</v>
      </c>
      <c r="G20" s="5" t="s">
        <v>256</v>
      </c>
      <c r="H20" s="31">
        <v>1238</v>
      </c>
      <c r="I20" s="37">
        <f t="shared" si="1"/>
        <v>2.476</v>
      </c>
      <c r="K20" s="22" t="s">
        <v>458</v>
      </c>
      <c r="L20" s="5" t="s">
        <v>459</v>
      </c>
      <c r="M20" s="31">
        <v>10547</v>
      </c>
      <c r="N20" s="37">
        <f t="shared" si="2"/>
        <v>21.094000000000001</v>
      </c>
      <c r="P20" s="22" t="s">
        <v>590</v>
      </c>
      <c r="Q20" s="5" t="s">
        <v>591</v>
      </c>
      <c r="R20" s="31">
        <v>2347</v>
      </c>
      <c r="S20" s="37">
        <f t="shared" si="3"/>
        <v>4.694</v>
      </c>
    </row>
    <row r="21" spans="1:19" x14ac:dyDescent="0.25">
      <c r="A21" s="22" t="s">
        <v>35</v>
      </c>
      <c r="B21" s="5" t="s">
        <v>37</v>
      </c>
      <c r="C21" s="31">
        <v>30810</v>
      </c>
      <c r="D21" s="37">
        <f t="shared" si="0"/>
        <v>61.62</v>
      </c>
      <c r="F21" s="22" t="s">
        <v>650</v>
      </c>
      <c r="G21" s="5" t="s">
        <v>258</v>
      </c>
      <c r="H21" s="31">
        <v>10112</v>
      </c>
      <c r="I21" s="37">
        <f t="shared" si="1"/>
        <v>20.224</v>
      </c>
      <c r="K21" s="22" t="s">
        <v>460</v>
      </c>
      <c r="L21" s="5" t="s">
        <v>461</v>
      </c>
      <c r="M21" s="31">
        <v>9948</v>
      </c>
      <c r="N21" s="37">
        <f t="shared" si="2"/>
        <v>19.896000000000001</v>
      </c>
      <c r="P21" s="22" t="s">
        <v>592</v>
      </c>
      <c r="Q21" s="5" t="s">
        <v>593</v>
      </c>
      <c r="R21" s="31">
        <v>1044</v>
      </c>
      <c r="S21" s="37">
        <f t="shared" si="3"/>
        <v>2.0880000000000001</v>
      </c>
    </row>
    <row r="22" spans="1:19" x14ac:dyDescent="0.25">
      <c r="A22" s="22" t="s">
        <v>38</v>
      </c>
      <c r="B22" s="5" t="s">
        <v>39</v>
      </c>
      <c r="C22" s="31">
        <v>6279</v>
      </c>
      <c r="D22" s="37">
        <f t="shared" si="0"/>
        <v>12.558</v>
      </c>
      <c r="F22" s="22" t="s">
        <v>651</v>
      </c>
      <c r="G22" s="5" t="s">
        <v>260</v>
      </c>
      <c r="H22" s="31">
        <v>1483</v>
      </c>
      <c r="I22" s="37">
        <f t="shared" si="1"/>
        <v>2.9660000000000002</v>
      </c>
      <c r="K22" s="22" t="s">
        <v>462</v>
      </c>
      <c r="L22" s="5" t="s">
        <v>463</v>
      </c>
      <c r="M22" s="31">
        <v>11839</v>
      </c>
      <c r="N22" s="37">
        <f t="shared" si="2"/>
        <v>23.678000000000001</v>
      </c>
      <c r="P22" s="22" t="s">
        <v>594</v>
      </c>
      <c r="Q22" s="5" t="s">
        <v>595</v>
      </c>
      <c r="R22" s="31">
        <v>7002</v>
      </c>
      <c r="S22" s="37">
        <f t="shared" si="3"/>
        <v>14.004</v>
      </c>
    </row>
    <row r="23" spans="1:19" x14ac:dyDescent="0.25">
      <c r="A23" s="22" t="s">
        <v>40</v>
      </c>
      <c r="B23" s="5" t="s">
        <v>41</v>
      </c>
      <c r="C23" s="31">
        <v>12481</v>
      </c>
      <c r="D23" s="37">
        <f t="shared" si="0"/>
        <v>24.962</v>
      </c>
      <c r="F23" s="22" t="s">
        <v>652</v>
      </c>
      <c r="G23" s="5" t="s">
        <v>262</v>
      </c>
      <c r="H23" s="31">
        <v>3627</v>
      </c>
      <c r="I23" s="37">
        <f t="shared" si="1"/>
        <v>7.2539999999999996</v>
      </c>
      <c r="K23" s="22" t="s">
        <v>464</v>
      </c>
      <c r="L23" s="5" t="s">
        <v>465</v>
      </c>
      <c r="M23" s="31">
        <v>12712</v>
      </c>
      <c r="N23" s="37">
        <f t="shared" si="2"/>
        <v>25.423999999999999</v>
      </c>
      <c r="P23" s="22" t="s">
        <v>596</v>
      </c>
      <c r="Q23" s="5" t="s">
        <v>597</v>
      </c>
      <c r="R23" s="31">
        <v>3874</v>
      </c>
      <c r="S23" s="37">
        <f t="shared" si="3"/>
        <v>7.7480000000000002</v>
      </c>
    </row>
    <row r="24" spans="1:19" x14ac:dyDescent="0.25">
      <c r="A24" s="22" t="s">
        <v>42</v>
      </c>
      <c r="B24" s="5" t="s">
        <v>43</v>
      </c>
      <c r="C24" s="31">
        <v>760</v>
      </c>
      <c r="D24" s="37">
        <f t="shared" si="0"/>
        <v>1.52</v>
      </c>
      <c r="F24" s="22" t="s">
        <v>653</v>
      </c>
      <c r="G24" s="5" t="s">
        <v>264</v>
      </c>
      <c r="H24" s="31">
        <v>12544</v>
      </c>
      <c r="I24" s="37">
        <f t="shared" si="1"/>
        <v>25.088000000000001</v>
      </c>
      <c r="K24" s="22" t="s">
        <v>466</v>
      </c>
      <c r="L24" s="5" t="s">
        <v>467</v>
      </c>
      <c r="M24" s="31">
        <v>17770</v>
      </c>
      <c r="N24" s="37">
        <f t="shared" si="2"/>
        <v>35.54</v>
      </c>
      <c r="P24" s="22" t="s">
        <v>598</v>
      </c>
      <c r="Q24" s="5" t="s">
        <v>599</v>
      </c>
      <c r="R24" s="31">
        <v>1376</v>
      </c>
      <c r="S24" s="37">
        <f t="shared" si="3"/>
        <v>2.7519999999999998</v>
      </c>
    </row>
    <row r="25" spans="1:19" x14ac:dyDescent="0.25">
      <c r="A25" s="22" t="s">
        <v>44</v>
      </c>
      <c r="B25" s="5" t="s">
        <v>45</v>
      </c>
      <c r="C25" s="31">
        <v>1760</v>
      </c>
      <c r="D25" s="37">
        <f t="shared" si="0"/>
        <v>3.52</v>
      </c>
      <c r="F25" s="22" t="s">
        <v>654</v>
      </c>
      <c r="G25" s="5" t="s">
        <v>266</v>
      </c>
      <c r="H25" s="31">
        <v>5044</v>
      </c>
      <c r="I25" s="37">
        <f t="shared" si="1"/>
        <v>10.087999999999999</v>
      </c>
      <c r="K25" s="22" t="s">
        <v>468</v>
      </c>
      <c r="L25" s="5" t="s">
        <v>469</v>
      </c>
      <c r="M25" s="31">
        <v>46363</v>
      </c>
      <c r="N25" s="37">
        <f t="shared" si="2"/>
        <v>92.725999999999999</v>
      </c>
      <c r="P25" s="22" t="s">
        <v>600</v>
      </c>
      <c r="Q25" s="5" t="s">
        <v>601</v>
      </c>
      <c r="R25" s="31">
        <v>7769</v>
      </c>
      <c r="S25" s="37">
        <f t="shared" si="3"/>
        <v>15.538</v>
      </c>
    </row>
    <row r="26" spans="1:19" x14ac:dyDescent="0.25">
      <c r="A26" s="22" t="s">
        <v>46</v>
      </c>
      <c r="B26" s="5" t="s">
        <v>47</v>
      </c>
      <c r="C26" s="31">
        <v>303</v>
      </c>
      <c r="D26" s="37">
        <f t="shared" si="0"/>
        <v>0.60599999999999998</v>
      </c>
      <c r="F26" s="22" t="s">
        <v>655</v>
      </c>
      <c r="G26" s="5" t="s">
        <v>268</v>
      </c>
      <c r="H26" s="31">
        <v>13230</v>
      </c>
      <c r="I26" s="37">
        <f t="shared" si="1"/>
        <v>26.46</v>
      </c>
      <c r="K26" s="22" t="s">
        <v>470</v>
      </c>
      <c r="L26" s="5" t="s">
        <v>471</v>
      </c>
      <c r="M26" s="31">
        <v>8332</v>
      </c>
      <c r="N26" s="37">
        <f t="shared" si="2"/>
        <v>16.664000000000001</v>
      </c>
      <c r="P26" s="22" t="s">
        <v>602</v>
      </c>
      <c r="Q26" s="5" t="s">
        <v>603</v>
      </c>
      <c r="R26" s="31">
        <v>3991</v>
      </c>
      <c r="S26" s="37">
        <f t="shared" si="3"/>
        <v>7.9820000000000002</v>
      </c>
    </row>
    <row r="27" spans="1:19" x14ac:dyDescent="0.25">
      <c r="A27" s="22" t="s">
        <v>48</v>
      </c>
      <c r="B27" s="5" t="s">
        <v>49</v>
      </c>
      <c r="C27" s="31">
        <v>1205</v>
      </c>
      <c r="D27" s="37">
        <f t="shared" si="0"/>
        <v>2.41</v>
      </c>
      <c r="F27" s="22" t="s">
        <v>656</v>
      </c>
      <c r="G27" s="5" t="s">
        <v>270</v>
      </c>
      <c r="H27" s="31">
        <v>9584</v>
      </c>
      <c r="I27" s="37">
        <f t="shared" si="1"/>
        <v>19.167999999999999</v>
      </c>
      <c r="K27" s="22" t="s">
        <v>472</v>
      </c>
      <c r="L27" s="5" t="s">
        <v>473</v>
      </c>
      <c r="M27" s="31">
        <v>14976</v>
      </c>
      <c r="N27" s="37">
        <f t="shared" si="2"/>
        <v>29.952000000000002</v>
      </c>
      <c r="P27" s="22" t="s">
        <v>604</v>
      </c>
      <c r="Q27" s="5" t="s">
        <v>605</v>
      </c>
      <c r="R27" s="31">
        <v>4775</v>
      </c>
      <c r="S27" s="37">
        <f t="shared" si="3"/>
        <v>9.5500000000000007</v>
      </c>
    </row>
    <row r="28" spans="1:19" x14ac:dyDescent="0.25">
      <c r="A28" s="22" t="s">
        <v>5</v>
      </c>
      <c r="B28" s="5" t="s">
        <v>50</v>
      </c>
      <c r="C28" s="31">
        <v>3607</v>
      </c>
      <c r="D28" s="37">
        <f t="shared" si="0"/>
        <v>7.2140000000000004</v>
      </c>
      <c r="F28" s="22" t="s">
        <v>657</v>
      </c>
      <c r="G28" s="5" t="s">
        <v>272</v>
      </c>
      <c r="H28" s="31">
        <v>2310</v>
      </c>
      <c r="I28" s="37">
        <f t="shared" si="1"/>
        <v>4.62</v>
      </c>
      <c r="K28" s="22" t="s">
        <v>474</v>
      </c>
      <c r="L28" s="5" t="s">
        <v>475</v>
      </c>
      <c r="M28" s="31">
        <v>3645</v>
      </c>
      <c r="N28" s="37">
        <f t="shared" si="2"/>
        <v>7.29</v>
      </c>
      <c r="P28" s="22" t="s">
        <v>606</v>
      </c>
      <c r="Q28" s="5" t="s">
        <v>607</v>
      </c>
      <c r="R28" s="31">
        <v>4326</v>
      </c>
      <c r="S28" s="37">
        <f t="shared" si="3"/>
        <v>8.6519999999999992</v>
      </c>
    </row>
    <row r="29" spans="1:19" x14ac:dyDescent="0.25">
      <c r="A29" s="22" t="s">
        <v>51</v>
      </c>
      <c r="B29" s="5" t="s">
        <v>52</v>
      </c>
      <c r="C29" s="31">
        <v>4507</v>
      </c>
      <c r="D29" s="37">
        <f t="shared" si="0"/>
        <v>9.0139999999999993</v>
      </c>
      <c r="F29" s="22" t="s">
        <v>658</v>
      </c>
      <c r="G29" s="5" t="s">
        <v>274</v>
      </c>
      <c r="H29" s="31">
        <v>9059</v>
      </c>
      <c r="I29" s="37">
        <f t="shared" si="1"/>
        <v>18.117999999999999</v>
      </c>
      <c r="K29" s="22" t="s">
        <v>476</v>
      </c>
      <c r="L29" s="5" t="s">
        <v>477</v>
      </c>
      <c r="M29" s="31">
        <v>12932</v>
      </c>
      <c r="N29" s="37">
        <f t="shared" si="2"/>
        <v>25.864000000000001</v>
      </c>
      <c r="P29" s="22" t="s">
        <v>608</v>
      </c>
      <c r="Q29" s="5" t="s">
        <v>13</v>
      </c>
      <c r="R29" s="31">
        <v>2032</v>
      </c>
      <c r="S29" s="37">
        <f t="shared" si="3"/>
        <v>4.0640000000000001</v>
      </c>
    </row>
    <row r="30" spans="1:19" x14ac:dyDescent="0.25">
      <c r="A30" s="22" t="s">
        <v>53</v>
      </c>
      <c r="B30" s="5" t="s">
        <v>54</v>
      </c>
      <c r="C30" s="31">
        <v>2477</v>
      </c>
      <c r="D30" s="37">
        <f t="shared" si="0"/>
        <v>4.9539999999999997</v>
      </c>
      <c r="F30" s="22" t="s">
        <v>659</v>
      </c>
      <c r="G30" s="5" t="s">
        <v>276</v>
      </c>
      <c r="H30" s="31">
        <v>3747</v>
      </c>
      <c r="I30" s="37">
        <f t="shared" si="1"/>
        <v>7.4939999999999998</v>
      </c>
      <c r="K30" s="22" t="s">
        <v>478</v>
      </c>
      <c r="L30" s="5" t="s">
        <v>479</v>
      </c>
      <c r="M30" s="31">
        <v>12899</v>
      </c>
      <c r="N30" s="37">
        <f t="shared" si="2"/>
        <v>25.797999999999998</v>
      </c>
      <c r="P30" s="22" t="s">
        <v>609</v>
      </c>
      <c r="Q30" s="5" t="s">
        <v>610</v>
      </c>
      <c r="R30" s="31">
        <v>7648</v>
      </c>
      <c r="S30" s="37">
        <f t="shared" si="3"/>
        <v>15.295999999999999</v>
      </c>
    </row>
    <row r="31" spans="1:19" x14ac:dyDescent="0.25">
      <c r="A31" s="22" t="s">
        <v>55</v>
      </c>
      <c r="B31" s="5" t="s">
        <v>56</v>
      </c>
      <c r="C31" s="31">
        <v>303</v>
      </c>
      <c r="D31" s="37">
        <f t="shared" si="0"/>
        <v>0.60599999999999998</v>
      </c>
      <c r="F31" s="22" t="s">
        <v>660</v>
      </c>
      <c r="G31" s="5" t="s">
        <v>278</v>
      </c>
      <c r="H31" s="31">
        <v>6227</v>
      </c>
      <c r="I31" s="37">
        <f t="shared" si="1"/>
        <v>12.454000000000001</v>
      </c>
      <c r="K31" s="22" t="s">
        <v>480</v>
      </c>
      <c r="L31" s="5" t="s">
        <v>481</v>
      </c>
      <c r="M31" s="31">
        <v>10625</v>
      </c>
      <c r="N31" s="37">
        <f t="shared" si="2"/>
        <v>21.25</v>
      </c>
      <c r="P31" s="22" t="s">
        <v>611</v>
      </c>
      <c r="Q31" s="5" t="s">
        <v>612</v>
      </c>
      <c r="R31" s="31">
        <v>3530</v>
      </c>
      <c r="S31" s="37">
        <f t="shared" si="3"/>
        <v>7.06</v>
      </c>
    </row>
    <row r="32" spans="1:19" x14ac:dyDescent="0.25">
      <c r="A32" s="22" t="s">
        <v>57</v>
      </c>
      <c r="B32" s="5" t="s">
        <v>58</v>
      </c>
      <c r="C32" s="31">
        <v>4185</v>
      </c>
      <c r="D32" s="37">
        <f t="shared" si="0"/>
        <v>8.3699999999999992</v>
      </c>
      <c r="F32" s="22" t="s">
        <v>661</v>
      </c>
      <c r="G32" s="5" t="s">
        <v>282</v>
      </c>
      <c r="H32" s="31">
        <v>411</v>
      </c>
      <c r="I32" s="37">
        <f t="shared" si="1"/>
        <v>0.82199999999999995</v>
      </c>
      <c r="K32" s="22" t="s">
        <v>482</v>
      </c>
      <c r="L32" s="5" t="s">
        <v>483</v>
      </c>
      <c r="M32" s="31">
        <v>12580</v>
      </c>
      <c r="N32" s="37">
        <f t="shared" si="2"/>
        <v>25.16</v>
      </c>
      <c r="P32" s="22" t="s">
        <v>613</v>
      </c>
      <c r="Q32" s="5" t="s">
        <v>614</v>
      </c>
      <c r="R32" s="31">
        <v>5316</v>
      </c>
      <c r="S32" s="37">
        <f t="shared" si="3"/>
        <v>10.632</v>
      </c>
    </row>
    <row r="33" spans="1:19" x14ac:dyDescent="0.25">
      <c r="A33" s="22" t="s">
        <v>59</v>
      </c>
      <c r="B33" s="5" t="s">
        <v>60</v>
      </c>
      <c r="C33" s="31">
        <v>1184</v>
      </c>
      <c r="D33" s="37">
        <f t="shared" si="0"/>
        <v>2.3679999999999999</v>
      </c>
      <c r="F33" s="22" t="s">
        <v>662</v>
      </c>
      <c r="G33" s="5" t="s">
        <v>284</v>
      </c>
      <c r="H33" s="31">
        <v>1441</v>
      </c>
      <c r="I33" s="37">
        <f t="shared" si="1"/>
        <v>2.8820000000000001</v>
      </c>
      <c r="K33" s="22" t="s">
        <v>484</v>
      </c>
      <c r="L33" s="5" t="s">
        <v>485</v>
      </c>
      <c r="M33" s="31">
        <v>12097</v>
      </c>
      <c r="N33" s="37">
        <f t="shared" si="2"/>
        <v>24.193999999999999</v>
      </c>
      <c r="P33" s="22" t="s">
        <v>615</v>
      </c>
      <c r="Q33" s="5" t="s">
        <v>616</v>
      </c>
      <c r="R33" s="31">
        <v>3588</v>
      </c>
      <c r="S33" s="37">
        <f t="shared" si="3"/>
        <v>7.1760000000000002</v>
      </c>
    </row>
    <row r="34" spans="1:19" ht="15.75" thickBot="1" x14ac:dyDescent="0.3">
      <c r="A34" s="22" t="s">
        <v>61</v>
      </c>
      <c r="B34" s="5" t="s">
        <v>62</v>
      </c>
      <c r="C34" s="31">
        <v>261</v>
      </c>
      <c r="D34" s="37">
        <f t="shared" si="0"/>
        <v>0.52200000000000002</v>
      </c>
      <c r="F34" s="22" t="s">
        <v>663</v>
      </c>
      <c r="G34" s="5" t="s">
        <v>286</v>
      </c>
      <c r="H34" s="31">
        <v>17781</v>
      </c>
      <c r="I34" s="37">
        <f t="shared" si="1"/>
        <v>35.561999999999998</v>
      </c>
      <c r="K34" s="22" t="s">
        <v>486</v>
      </c>
      <c r="L34" s="5" t="s">
        <v>487</v>
      </c>
      <c r="M34" s="31">
        <v>21041</v>
      </c>
      <c r="N34" s="37">
        <f t="shared" si="2"/>
        <v>42.082000000000001</v>
      </c>
      <c r="P34" s="23" t="s">
        <v>617</v>
      </c>
      <c r="Q34" s="24" t="s">
        <v>618</v>
      </c>
      <c r="R34" s="33">
        <v>6164</v>
      </c>
      <c r="S34" s="38">
        <f t="shared" si="3"/>
        <v>12.327999999999999</v>
      </c>
    </row>
    <row r="35" spans="1:19" x14ac:dyDescent="0.25">
      <c r="A35" s="22" t="s">
        <v>63</v>
      </c>
      <c r="B35" s="5" t="s">
        <v>64</v>
      </c>
      <c r="C35" s="31">
        <v>2489</v>
      </c>
      <c r="D35" s="37">
        <f t="shared" si="0"/>
        <v>4.9779999999999998</v>
      </c>
      <c r="F35" s="22" t="s">
        <v>664</v>
      </c>
      <c r="G35" s="5" t="s">
        <v>288</v>
      </c>
      <c r="H35" s="31">
        <v>4857</v>
      </c>
      <c r="I35" s="37">
        <f t="shared" si="1"/>
        <v>9.7140000000000004</v>
      </c>
      <c r="K35" s="22" t="s">
        <v>488</v>
      </c>
      <c r="L35" s="5" t="s">
        <v>489</v>
      </c>
      <c r="M35" s="31">
        <v>5000</v>
      </c>
      <c r="N35" s="37">
        <f t="shared" si="2"/>
        <v>10</v>
      </c>
    </row>
    <row r="36" spans="1:19" x14ac:dyDescent="0.25">
      <c r="A36" s="22" t="s">
        <v>65</v>
      </c>
      <c r="B36" s="5" t="s">
        <v>66</v>
      </c>
      <c r="C36" s="31">
        <v>149</v>
      </c>
      <c r="D36" s="37">
        <f t="shared" si="0"/>
        <v>0.29799999999999999</v>
      </c>
      <c r="F36" s="22" t="s">
        <v>665</v>
      </c>
      <c r="G36" s="5" t="s">
        <v>290</v>
      </c>
      <c r="H36" s="31">
        <v>6962</v>
      </c>
      <c r="I36" s="37">
        <f t="shared" si="1"/>
        <v>13.923999999999999</v>
      </c>
      <c r="K36" s="22" t="s">
        <v>490</v>
      </c>
      <c r="L36" s="5" t="s">
        <v>491</v>
      </c>
      <c r="M36" s="31">
        <v>23925</v>
      </c>
      <c r="N36" s="37">
        <f t="shared" si="2"/>
        <v>47.85</v>
      </c>
    </row>
    <row r="37" spans="1:19" x14ac:dyDescent="0.25">
      <c r="A37" s="22" t="s">
        <v>67</v>
      </c>
      <c r="B37" s="5" t="s">
        <v>68</v>
      </c>
      <c r="C37" s="31">
        <v>2853</v>
      </c>
      <c r="D37" s="37">
        <f t="shared" si="0"/>
        <v>5.7060000000000004</v>
      </c>
      <c r="F37" s="22" t="s">
        <v>666</v>
      </c>
      <c r="G37" s="5" t="s">
        <v>292</v>
      </c>
      <c r="H37" s="31">
        <v>0</v>
      </c>
      <c r="I37" s="37">
        <f t="shared" si="1"/>
        <v>0</v>
      </c>
      <c r="K37" s="22" t="s">
        <v>492</v>
      </c>
      <c r="L37" s="5" t="s">
        <v>493</v>
      </c>
      <c r="M37" s="31">
        <v>7188</v>
      </c>
      <c r="N37" s="37">
        <f t="shared" si="2"/>
        <v>14.375999999999999</v>
      </c>
    </row>
    <row r="38" spans="1:19" x14ac:dyDescent="0.25">
      <c r="A38" s="22" t="s">
        <v>69</v>
      </c>
      <c r="B38" s="5" t="s">
        <v>70</v>
      </c>
      <c r="C38" s="31">
        <v>162</v>
      </c>
      <c r="D38" s="37">
        <f t="shared" si="0"/>
        <v>0.32400000000000001</v>
      </c>
      <c r="F38" s="22" t="s">
        <v>667</v>
      </c>
      <c r="G38" s="5" t="s">
        <v>294</v>
      </c>
      <c r="H38" s="31">
        <v>3017</v>
      </c>
      <c r="I38" s="37">
        <f t="shared" si="1"/>
        <v>6.0339999999999998</v>
      </c>
      <c r="K38" s="22" t="s">
        <v>494</v>
      </c>
      <c r="L38" s="5" t="s">
        <v>495</v>
      </c>
      <c r="M38" s="31">
        <v>8351</v>
      </c>
      <c r="N38" s="37">
        <f t="shared" si="2"/>
        <v>16.702000000000002</v>
      </c>
    </row>
    <row r="39" spans="1:19" x14ac:dyDescent="0.25">
      <c r="A39" s="22" t="s">
        <v>33</v>
      </c>
      <c r="B39" s="5" t="s">
        <v>71</v>
      </c>
      <c r="C39" s="31">
        <v>2667</v>
      </c>
      <c r="D39" s="37">
        <f t="shared" si="0"/>
        <v>5.3339999999999996</v>
      </c>
      <c r="F39" s="22" t="s">
        <v>668</v>
      </c>
      <c r="G39" s="5" t="s">
        <v>296</v>
      </c>
      <c r="H39" s="31">
        <v>2097</v>
      </c>
      <c r="I39" s="37">
        <f t="shared" si="1"/>
        <v>4.194</v>
      </c>
      <c r="K39" s="22" t="s">
        <v>757</v>
      </c>
      <c r="L39" s="5" t="s">
        <v>497</v>
      </c>
      <c r="M39" s="31">
        <v>12923</v>
      </c>
      <c r="N39" s="37">
        <f t="shared" si="2"/>
        <v>25.846</v>
      </c>
    </row>
    <row r="40" spans="1:19" x14ac:dyDescent="0.25">
      <c r="A40" s="22" t="s">
        <v>33</v>
      </c>
      <c r="B40" s="5" t="s">
        <v>72</v>
      </c>
      <c r="C40" s="31">
        <v>1444</v>
      </c>
      <c r="D40" s="37">
        <f t="shared" si="0"/>
        <v>2.8879999999999999</v>
      </c>
      <c r="F40" s="22" t="s">
        <v>669</v>
      </c>
      <c r="G40" s="5" t="s">
        <v>298</v>
      </c>
      <c r="H40" s="31">
        <v>2886</v>
      </c>
      <c r="I40" s="37">
        <f t="shared" si="1"/>
        <v>5.7720000000000002</v>
      </c>
      <c r="K40" s="22" t="s">
        <v>498</v>
      </c>
      <c r="L40" s="5" t="s">
        <v>499</v>
      </c>
      <c r="M40" s="31">
        <v>4563</v>
      </c>
      <c r="N40" s="37">
        <f t="shared" si="2"/>
        <v>9.1259999999999994</v>
      </c>
    </row>
    <row r="41" spans="1:19" x14ac:dyDescent="0.25">
      <c r="A41" s="22" t="s">
        <v>73</v>
      </c>
      <c r="B41" s="5" t="s">
        <v>74</v>
      </c>
      <c r="C41" s="31">
        <v>3264</v>
      </c>
      <c r="D41" s="37">
        <f t="shared" si="0"/>
        <v>6.5279999999999996</v>
      </c>
      <c r="F41" s="22" t="s">
        <v>299</v>
      </c>
      <c r="G41" s="5" t="s">
        <v>300</v>
      </c>
      <c r="H41" s="31">
        <v>1848</v>
      </c>
      <c r="I41" s="37">
        <f t="shared" si="1"/>
        <v>3.6960000000000002</v>
      </c>
      <c r="K41" s="22" t="s">
        <v>500</v>
      </c>
      <c r="L41" s="5" t="s">
        <v>501</v>
      </c>
      <c r="M41" s="31">
        <v>4688</v>
      </c>
      <c r="N41" s="37">
        <f t="shared" si="2"/>
        <v>9.3759999999999994</v>
      </c>
    </row>
    <row r="42" spans="1:19" x14ac:dyDescent="0.25">
      <c r="A42" s="22" t="s">
        <v>75</v>
      </c>
      <c r="B42" s="5" t="s">
        <v>76</v>
      </c>
      <c r="C42" s="31">
        <v>921</v>
      </c>
      <c r="D42" s="37">
        <f t="shared" si="0"/>
        <v>1.8420000000000001</v>
      </c>
      <c r="F42" s="22" t="s">
        <v>670</v>
      </c>
      <c r="G42" s="5" t="s">
        <v>302</v>
      </c>
      <c r="H42" s="31">
        <v>2008</v>
      </c>
      <c r="I42" s="37">
        <f t="shared" si="1"/>
        <v>4.016</v>
      </c>
      <c r="K42" s="22" t="s">
        <v>502</v>
      </c>
      <c r="L42" s="5" t="s">
        <v>503</v>
      </c>
      <c r="M42" s="31">
        <v>8615</v>
      </c>
      <c r="N42" s="37">
        <f t="shared" si="2"/>
        <v>17.23</v>
      </c>
    </row>
    <row r="43" spans="1:19" x14ac:dyDescent="0.25">
      <c r="A43" s="22" t="s">
        <v>77</v>
      </c>
      <c r="B43" s="5" t="s">
        <v>78</v>
      </c>
      <c r="C43" s="31">
        <v>4272</v>
      </c>
      <c r="D43" s="37">
        <f t="shared" si="0"/>
        <v>8.5440000000000005</v>
      </c>
      <c r="F43" s="22" t="s">
        <v>303</v>
      </c>
      <c r="G43" s="5" t="s">
        <v>304</v>
      </c>
      <c r="H43" s="31">
        <v>411</v>
      </c>
      <c r="I43" s="37">
        <f t="shared" si="1"/>
        <v>0.82199999999999995</v>
      </c>
      <c r="K43" s="22" t="s">
        <v>504</v>
      </c>
      <c r="L43" s="5" t="s">
        <v>505</v>
      </c>
      <c r="M43" s="31">
        <v>12878</v>
      </c>
      <c r="N43" s="37">
        <f t="shared" si="2"/>
        <v>25.756</v>
      </c>
    </row>
    <row r="44" spans="1:19" x14ac:dyDescent="0.25">
      <c r="A44" s="22" t="s">
        <v>79</v>
      </c>
      <c r="B44" s="5" t="s">
        <v>80</v>
      </c>
      <c r="C44" s="31">
        <v>961</v>
      </c>
      <c r="D44" s="37">
        <f t="shared" si="0"/>
        <v>1.9219999999999999</v>
      </c>
      <c r="F44" s="22" t="s">
        <v>305</v>
      </c>
      <c r="G44" s="5" t="s">
        <v>306</v>
      </c>
      <c r="H44" s="31">
        <v>33</v>
      </c>
      <c r="I44" s="37">
        <f t="shared" si="1"/>
        <v>6.6000000000000003E-2</v>
      </c>
      <c r="K44" s="22" t="s">
        <v>506</v>
      </c>
      <c r="L44" s="5" t="s">
        <v>507</v>
      </c>
      <c r="M44" s="31">
        <v>13524</v>
      </c>
      <c r="N44" s="37">
        <f t="shared" si="2"/>
        <v>27.047999999999998</v>
      </c>
    </row>
    <row r="45" spans="1:19" x14ac:dyDescent="0.25">
      <c r="A45" s="22" t="s">
        <v>69</v>
      </c>
      <c r="B45" s="5" t="s">
        <v>81</v>
      </c>
      <c r="C45" s="31">
        <v>3651</v>
      </c>
      <c r="D45" s="37">
        <f t="shared" si="0"/>
        <v>7.3019999999999996</v>
      </c>
      <c r="F45" s="22" t="s">
        <v>671</v>
      </c>
      <c r="G45" s="5" t="s">
        <v>308</v>
      </c>
      <c r="H45" s="31">
        <v>0</v>
      </c>
      <c r="I45" s="37">
        <f t="shared" si="1"/>
        <v>0</v>
      </c>
      <c r="K45" s="22" t="s">
        <v>508</v>
      </c>
      <c r="L45" s="5" t="s">
        <v>509</v>
      </c>
      <c r="M45" s="31">
        <v>30155</v>
      </c>
      <c r="N45" s="37">
        <f t="shared" si="2"/>
        <v>60.31</v>
      </c>
    </row>
    <row r="46" spans="1:19" x14ac:dyDescent="0.25">
      <c r="A46" s="22" t="s">
        <v>69</v>
      </c>
      <c r="B46" s="5" t="s">
        <v>82</v>
      </c>
      <c r="C46" s="31">
        <v>2565</v>
      </c>
      <c r="D46" s="37">
        <f t="shared" si="0"/>
        <v>5.13</v>
      </c>
      <c r="F46" s="22" t="s">
        <v>672</v>
      </c>
      <c r="G46" s="5" t="s">
        <v>310</v>
      </c>
      <c r="H46" s="31">
        <v>547</v>
      </c>
      <c r="I46" s="37">
        <f t="shared" si="1"/>
        <v>1.0940000000000001</v>
      </c>
      <c r="K46" s="22" t="s">
        <v>510</v>
      </c>
      <c r="L46" s="5" t="s">
        <v>511</v>
      </c>
      <c r="M46" s="31">
        <v>5144</v>
      </c>
      <c r="N46" s="37">
        <f t="shared" si="2"/>
        <v>10.288</v>
      </c>
    </row>
    <row r="47" spans="1:19" x14ac:dyDescent="0.25">
      <c r="A47" s="22" t="s">
        <v>83</v>
      </c>
      <c r="B47" s="5" t="s">
        <v>84</v>
      </c>
      <c r="C47" s="31">
        <v>1051</v>
      </c>
      <c r="D47" s="37">
        <f t="shared" si="0"/>
        <v>2.1019999999999999</v>
      </c>
      <c r="F47" s="22" t="s">
        <v>673</v>
      </c>
      <c r="G47" s="5" t="s">
        <v>312</v>
      </c>
      <c r="H47" s="31">
        <v>3387</v>
      </c>
      <c r="I47" s="37">
        <f t="shared" si="1"/>
        <v>6.774</v>
      </c>
      <c r="K47" s="22" t="s">
        <v>512</v>
      </c>
      <c r="L47" s="5" t="s">
        <v>513</v>
      </c>
      <c r="M47" s="31">
        <v>6620</v>
      </c>
      <c r="N47" s="37">
        <f t="shared" si="2"/>
        <v>13.24</v>
      </c>
    </row>
    <row r="48" spans="1:19" x14ac:dyDescent="0.25">
      <c r="A48" s="22" t="s">
        <v>85</v>
      </c>
      <c r="B48" s="5" t="s">
        <v>86</v>
      </c>
      <c r="C48" s="31">
        <v>618</v>
      </c>
      <c r="D48" s="37">
        <f t="shared" si="0"/>
        <v>1.236</v>
      </c>
      <c r="F48" s="22" t="s">
        <v>674</v>
      </c>
      <c r="G48" s="5" t="s">
        <v>314</v>
      </c>
      <c r="H48" s="31">
        <v>3754</v>
      </c>
      <c r="I48" s="37">
        <f t="shared" si="1"/>
        <v>7.508</v>
      </c>
      <c r="K48" s="22" t="s">
        <v>514</v>
      </c>
      <c r="L48" s="5" t="s">
        <v>515</v>
      </c>
      <c r="M48" s="31">
        <v>18048</v>
      </c>
      <c r="N48" s="37">
        <f t="shared" si="2"/>
        <v>36.095999999999997</v>
      </c>
    </row>
    <row r="49" spans="1:14" x14ac:dyDescent="0.25">
      <c r="A49" s="22" t="s">
        <v>89</v>
      </c>
      <c r="B49" s="5" t="s">
        <v>90</v>
      </c>
      <c r="C49" s="31">
        <v>0</v>
      </c>
      <c r="D49" s="37">
        <f t="shared" si="0"/>
        <v>0</v>
      </c>
      <c r="F49" s="22" t="s">
        <v>675</v>
      </c>
      <c r="G49" s="5" t="s">
        <v>316</v>
      </c>
      <c r="H49" s="31">
        <v>300</v>
      </c>
      <c r="I49" s="37">
        <f t="shared" si="1"/>
        <v>0.6</v>
      </c>
      <c r="K49" s="22" t="s">
        <v>516</v>
      </c>
      <c r="L49" s="5" t="s">
        <v>517</v>
      </c>
      <c r="M49" s="31">
        <v>12192</v>
      </c>
      <c r="N49" s="37">
        <f t="shared" si="2"/>
        <v>24.384</v>
      </c>
    </row>
    <row r="50" spans="1:14" x14ac:dyDescent="0.25">
      <c r="A50" s="22" t="s">
        <v>91</v>
      </c>
      <c r="B50" s="5" t="s">
        <v>92</v>
      </c>
      <c r="C50" s="31">
        <v>0</v>
      </c>
      <c r="D50" s="37">
        <f t="shared" si="0"/>
        <v>0</v>
      </c>
      <c r="F50" s="22" t="s">
        <v>676</v>
      </c>
      <c r="G50" s="5" t="s">
        <v>318</v>
      </c>
      <c r="H50" s="31">
        <v>128</v>
      </c>
      <c r="I50" s="37">
        <f t="shared" si="1"/>
        <v>0.25600000000000001</v>
      </c>
      <c r="K50" s="22" t="s">
        <v>518</v>
      </c>
      <c r="L50" s="5" t="s">
        <v>519</v>
      </c>
      <c r="M50" s="31">
        <v>8500</v>
      </c>
      <c r="N50" s="37">
        <f t="shared" si="2"/>
        <v>17</v>
      </c>
    </row>
    <row r="51" spans="1:14" x14ac:dyDescent="0.25">
      <c r="A51" s="22" t="s">
        <v>93</v>
      </c>
      <c r="B51" s="5" t="s">
        <v>94</v>
      </c>
      <c r="C51" s="31">
        <v>411</v>
      </c>
      <c r="D51" s="37">
        <f t="shared" si="0"/>
        <v>0.82199999999999995</v>
      </c>
      <c r="F51" s="22" t="s">
        <v>677</v>
      </c>
      <c r="G51" s="5" t="s">
        <v>320</v>
      </c>
      <c r="H51" s="31">
        <v>1193</v>
      </c>
      <c r="I51" s="37">
        <f t="shared" si="1"/>
        <v>2.3860000000000001</v>
      </c>
      <c r="K51" s="22" t="s">
        <v>520</v>
      </c>
      <c r="L51" s="5" t="s">
        <v>521</v>
      </c>
      <c r="M51" s="31">
        <v>13008</v>
      </c>
      <c r="N51" s="37">
        <f t="shared" si="2"/>
        <v>26.015999999999998</v>
      </c>
    </row>
    <row r="52" spans="1:14" x14ac:dyDescent="0.25">
      <c r="A52" s="22" t="s">
        <v>67</v>
      </c>
      <c r="B52" s="5" t="s">
        <v>95</v>
      </c>
      <c r="C52" s="31">
        <v>2828</v>
      </c>
      <c r="D52" s="37">
        <f t="shared" si="0"/>
        <v>5.6559999999999997</v>
      </c>
      <c r="F52" s="22" t="s">
        <v>678</v>
      </c>
      <c r="G52" s="5" t="s">
        <v>322</v>
      </c>
      <c r="H52" s="31">
        <v>1889</v>
      </c>
      <c r="I52" s="37">
        <f t="shared" si="1"/>
        <v>3.778</v>
      </c>
      <c r="K52" s="22" t="s">
        <v>522</v>
      </c>
      <c r="L52" s="5" t="s">
        <v>523</v>
      </c>
      <c r="M52" s="31">
        <v>20055</v>
      </c>
      <c r="N52" s="37">
        <f t="shared" si="2"/>
        <v>40.11</v>
      </c>
    </row>
    <row r="53" spans="1:14" x14ac:dyDescent="0.25">
      <c r="A53" s="22" t="s">
        <v>96</v>
      </c>
      <c r="B53" s="5" t="s">
        <v>97</v>
      </c>
      <c r="C53" s="31">
        <v>1991</v>
      </c>
      <c r="D53" s="37">
        <f t="shared" si="0"/>
        <v>3.9820000000000002</v>
      </c>
      <c r="F53" s="22" t="s">
        <v>679</v>
      </c>
      <c r="G53" s="5" t="s">
        <v>324</v>
      </c>
      <c r="H53" s="31">
        <v>2119</v>
      </c>
      <c r="I53" s="37">
        <f t="shared" si="1"/>
        <v>4.2380000000000004</v>
      </c>
      <c r="K53" s="22" t="s">
        <v>524</v>
      </c>
      <c r="L53" s="5" t="s">
        <v>525</v>
      </c>
      <c r="M53" s="31">
        <v>10795</v>
      </c>
      <c r="N53" s="37">
        <f t="shared" si="2"/>
        <v>21.59</v>
      </c>
    </row>
    <row r="54" spans="1:14" x14ac:dyDescent="0.25">
      <c r="A54" s="22" t="s">
        <v>98</v>
      </c>
      <c r="B54" s="5" t="s">
        <v>99</v>
      </c>
      <c r="C54" s="31">
        <v>1528</v>
      </c>
      <c r="D54" s="37">
        <f t="shared" si="0"/>
        <v>3.056</v>
      </c>
      <c r="F54" s="22" t="s">
        <v>680</v>
      </c>
      <c r="G54" s="5" t="s">
        <v>146</v>
      </c>
      <c r="H54" s="31">
        <v>3238</v>
      </c>
      <c r="I54" s="37">
        <f t="shared" si="1"/>
        <v>6.476</v>
      </c>
      <c r="K54" s="22" t="s">
        <v>526</v>
      </c>
      <c r="L54" s="5" t="s">
        <v>527</v>
      </c>
      <c r="M54" s="31">
        <v>12754</v>
      </c>
      <c r="N54" s="37">
        <f t="shared" si="2"/>
        <v>25.507999999999999</v>
      </c>
    </row>
    <row r="55" spans="1:14" x14ac:dyDescent="0.25">
      <c r="A55" s="22" t="s">
        <v>100</v>
      </c>
      <c r="B55" s="5" t="s">
        <v>101</v>
      </c>
      <c r="C55" s="31">
        <v>0</v>
      </c>
      <c r="D55" s="37">
        <f t="shared" si="0"/>
        <v>0</v>
      </c>
      <c r="F55" s="22" t="s">
        <v>681</v>
      </c>
      <c r="G55" s="5" t="s">
        <v>280</v>
      </c>
      <c r="H55" s="31">
        <v>7272</v>
      </c>
      <c r="I55" s="37">
        <f t="shared" si="1"/>
        <v>14.544</v>
      </c>
      <c r="K55" s="22" t="s">
        <v>528</v>
      </c>
      <c r="L55" s="5" t="s">
        <v>529</v>
      </c>
      <c r="M55" s="31">
        <v>8269</v>
      </c>
      <c r="N55" s="37">
        <f t="shared" si="2"/>
        <v>16.538</v>
      </c>
    </row>
    <row r="56" spans="1:14" x14ac:dyDescent="0.25">
      <c r="A56" s="22" t="s">
        <v>102</v>
      </c>
      <c r="B56" s="5" t="s">
        <v>103</v>
      </c>
      <c r="C56" s="31">
        <v>1105</v>
      </c>
      <c r="D56" s="37">
        <f t="shared" si="0"/>
        <v>2.21</v>
      </c>
      <c r="F56" s="22" t="s">
        <v>682</v>
      </c>
      <c r="G56" s="5" t="s">
        <v>325</v>
      </c>
      <c r="H56" s="31">
        <v>63</v>
      </c>
      <c r="I56" s="37">
        <f t="shared" si="1"/>
        <v>0.126</v>
      </c>
      <c r="K56" s="22" t="s">
        <v>530</v>
      </c>
      <c r="L56" s="5" t="s">
        <v>531</v>
      </c>
      <c r="M56" s="31">
        <v>9228</v>
      </c>
      <c r="N56" s="37">
        <f t="shared" si="2"/>
        <v>18.456</v>
      </c>
    </row>
    <row r="57" spans="1:14" x14ac:dyDescent="0.25">
      <c r="A57" s="22" t="s">
        <v>104</v>
      </c>
      <c r="B57" s="5" t="s">
        <v>105</v>
      </c>
      <c r="C57" s="31">
        <v>0</v>
      </c>
      <c r="D57" s="37">
        <f t="shared" si="0"/>
        <v>0</v>
      </c>
      <c r="F57" s="22" t="s">
        <v>683</v>
      </c>
      <c r="G57" s="5" t="s">
        <v>327</v>
      </c>
      <c r="H57" s="31">
        <v>2194</v>
      </c>
      <c r="I57" s="37">
        <f t="shared" si="1"/>
        <v>4.3879999999999999</v>
      </c>
      <c r="K57" s="22" t="s">
        <v>760</v>
      </c>
      <c r="L57" s="5" t="s">
        <v>761</v>
      </c>
      <c r="M57" s="31">
        <v>0</v>
      </c>
      <c r="N57" s="37">
        <f t="shared" si="2"/>
        <v>0</v>
      </c>
    </row>
    <row r="58" spans="1:14" x14ac:dyDescent="0.25">
      <c r="A58" s="22" t="s">
        <v>106</v>
      </c>
      <c r="B58" s="5" t="s">
        <v>107</v>
      </c>
      <c r="C58" s="31">
        <v>2797</v>
      </c>
      <c r="D58" s="37">
        <f t="shared" si="0"/>
        <v>5.5940000000000003</v>
      </c>
      <c r="F58" s="22" t="s">
        <v>684</v>
      </c>
      <c r="G58" s="5" t="s">
        <v>357</v>
      </c>
      <c r="H58" s="31">
        <v>0</v>
      </c>
      <c r="I58" s="37">
        <f t="shared" si="1"/>
        <v>0</v>
      </c>
      <c r="K58" s="22" t="s">
        <v>762</v>
      </c>
      <c r="L58" s="5" t="s">
        <v>763</v>
      </c>
      <c r="M58" s="31">
        <v>3188</v>
      </c>
      <c r="N58" s="37">
        <f t="shared" si="2"/>
        <v>6.3760000000000003</v>
      </c>
    </row>
    <row r="59" spans="1:14" x14ac:dyDescent="0.25">
      <c r="A59" s="22" t="s">
        <v>106</v>
      </c>
      <c r="B59" s="5" t="s">
        <v>108</v>
      </c>
      <c r="C59" s="31">
        <v>2894</v>
      </c>
      <c r="D59" s="37">
        <f t="shared" si="0"/>
        <v>5.7880000000000003</v>
      </c>
      <c r="F59" s="22" t="s">
        <v>686</v>
      </c>
      <c r="G59" s="5" t="s">
        <v>328</v>
      </c>
      <c r="H59" s="31">
        <v>0</v>
      </c>
      <c r="I59" s="37">
        <f t="shared" si="1"/>
        <v>0</v>
      </c>
      <c r="K59" s="22" t="s">
        <v>764</v>
      </c>
      <c r="L59" s="5" t="s">
        <v>765</v>
      </c>
      <c r="M59" s="31">
        <v>1</v>
      </c>
      <c r="N59" s="37">
        <f t="shared" si="2"/>
        <v>2E-3</v>
      </c>
    </row>
    <row r="60" spans="1:14" x14ac:dyDescent="0.25">
      <c r="A60" s="22" t="s">
        <v>109</v>
      </c>
      <c r="B60" s="5" t="s">
        <v>110</v>
      </c>
      <c r="C60" s="31">
        <v>0</v>
      </c>
      <c r="D60" s="37">
        <f t="shared" si="0"/>
        <v>0</v>
      </c>
      <c r="F60" s="22" t="s">
        <v>659</v>
      </c>
      <c r="G60" s="5" t="s">
        <v>687</v>
      </c>
      <c r="H60" s="31">
        <v>617</v>
      </c>
      <c r="I60" s="37">
        <f t="shared" si="1"/>
        <v>1.234</v>
      </c>
      <c r="K60" s="22" t="s">
        <v>766</v>
      </c>
      <c r="L60" s="5" t="s">
        <v>767</v>
      </c>
      <c r="M60" s="31">
        <v>1532</v>
      </c>
      <c r="N60" s="37">
        <f t="shared" si="2"/>
        <v>3.0640000000000001</v>
      </c>
    </row>
    <row r="61" spans="1:14" x14ac:dyDescent="0.25">
      <c r="A61" s="22" t="s">
        <v>111</v>
      </c>
      <c r="B61" s="5" t="s">
        <v>112</v>
      </c>
      <c r="C61" s="31">
        <v>856</v>
      </c>
      <c r="D61" s="37">
        <f t="shared" si="0"/>
        <v>1.712</v>
      </c>
      <c r="F61" s="22" t="s">
        <v>656</v>
      </c>
      <c r="G61" s="5" t="s">
        <v>688</v>
      </c>
      <c r="H61" s="31">
        <v>2774</v>
      </c>
      <c r="I61" s="37">
        <f t="shared" si="1"/>
        <v>5.548</v>
      </c>
      <c r="K61" s="22" t="s">
        <v>768</v>
      </c>
      <c r="L61" s="5" t="s">
        <v>769</v>
      </c>
      <c r="M61" s="31">
        <v>606</v>
      </c>
      <c r="N61" s="37">
        <f t="shared" si="2"/>
        <v>1.212</v>
      </c>
    </row>
    <row r="62" spans="1:14" x14ac:dyDescent="0.25">
      <c r="A62" s="22" t="s">
        <v>113</v>
      </c>
      <c r="B62" s="5" t="s">
        <v>114</v>
      </c>
      <c r="C62" s="31">
        <v>365</v>
      </c>
      <c r="D62" s="37">
        <f t="shared" si="0"/>
        <v>0.73</v>
      </c>
      <c r="F62" s="22" t="s">
        <v>689</v>
      </c>
      <c r="G62" s="5" t="s">
        <v>330</v>
      </c>
      <c r="H62" s="31">
        <v>727</v>
      </c>
      <c r="I62" s="37">
        <f t="shared" si="1"/>
        <v>1.454</v>
      </c>
      <c r="K62" s="22" t="s">
        <v>770</v>
      </c>
      <c r="L62" s="5" t="s">
        <v>771</v>
      </c>
      <c r="M62" s="31">
        <v>1246</v>
      </c>
      <c r="N62" s="37">
        <f t="shared" si="2"/>
        <v>2.492</v>
      </c>
    </row>
    <row r="63" spans="1:14" x14ac:dyDescent="0.25">
      <c r="A63" s="22" t="s">
        <v>115</v>
      </c>
      <c r="B63" s="5" t="s">
        <v>116</v>
      </c>
      <c r="C63" s="31">
        <v>1262</v>
      </c>
      <c r="D63" s="37">
        <f t="shared" si="0"/>
        <v>2.524</v>
      </c>
      <c r="F63" s="22" t="s">
        <v>652</v>
      </c>
      <c r="G63" s="5" t="s">
        <v>331</v>
      </c>
      <c r="H63" s="31">
        <v>4698</v>
      </c>
      <c r="I63" s="37">
        <f t="shared" si="1"/>
        <v>9.3960000000000008</v>
      </c>
      <c r="K63" s="22" t="s">
        <v>772</v>
      </c>
      <c r="L63" s="5" t="s">
        <v>773</v>
      </c>
      <c r="M63" s="31">
        <v>1</v>
      </c>
      <c r="N63" s="37">
        <f t="shared" si="2"/>
        <v>2E-3</v>
      </c>
    </row>
    <row r="64" spans="1:14" x14ac:dyDescent="0.25">
      <c r="A64" s="22" t="s">
        <v>117</v>
      </c>
      <c r="B64" s="5" t="s">
        <v>118</v>
      </c>
      <c r="C64" s="31">
        <v>3952</v>
      </c>
      <c r="D64" s="37">
        <f t="shared" si="0"/>
        <v>7.9039999999999999</v>
      </c>
      <c r="F64" s="22" t="s">
        <v>667</v>
      </c>
      <c r="G64" s="5" t="s">
        <v>333</v>
      </c>
      <c r="H64" s="31">
        <v>6427</v>
      </c>
      <c r="I64" s="37">
        <f t="shared" si="1"/>
        <v>12.853999999999999</v>
      </c>
      <c r="K64" s="22" t="s">
        <v>774</v>
      </c>
      <c r="L64" s="5" t="s">
        <v>775</v>
      </c>
      <c r="M64" s="31">
        <v>2563</v>
      </c>
      <c r="N64" s="37">
        <f t="shared" si="2"/>
        <v>5.1260000000000003</v>
      </c>
    </row>
    <row r="65" spans="1:14" x14ac:dyDescent="0.25">
      <c r="A65" s="22" t="s">
        <v>119</v>
      </c>
      <c r="B65" s="5" t="s">
        <v>120</v>
      </c>
      <c r="C65" s="31">
        <v>385</v>
      </c>
      <c r="D65" s="37">
        <f t="shared" si="0"/>
        <v>0.77</v>
      </c>
      <c r="F65" s="22" t="s">
        <v>690</v>
      </c>
      <c r="G65" s="5" t="s">
        <v>335</v>
      </c>
      <c r="H65" s="31">
        <v>4243</v>
      </c>
      <c r="I65" s="37">
        <f t="shared" si="1"/>
        <v>8.4860000000000007</v>
      </c>
      <c r="K65" s="22" t="s">
        <v>776</v>
      </c>
      <c r="L65" s="5" t="s">
        <v>777</v>
      </c>
      <c r="M65" s="31">
        <v>3275</v>
      </c>
      <c r="N65" s="37">
        <f t="shared" si="2"/>
        <v>6.55</v>
      </c>
    </row>
    <row r="66" spans="1:14" x14ac:dyDescent="0.25">
      <c r="A66" s="22" t="s">
        <v>121</v>
      </c>
      <c r="B66" s="5" t="s">
        <v>122</v>
      </c>
      <c r="C66" s="31">
        <v>908</v>
      </c>
      <c r="D66" s="37">
        <f t="shared" si="0"/>
        <v>1.8160000000000001</v>
      </c>
      <c r="F66" s="22" t="s">
        <v>666</v>
      </c>
      <c r="G66" s="5" t="s">
        <v>336</v>
      </c>
      <c r="H66" s="31">
        <v>579</v>
      </c>
      <c r="I66" s="37">
        <f t="shared" si="1"/>
        <v>1.1579999999999999</v>
      </c>
      <c r="K66" s="22" t="s">
        <v>778</v>
      </c>
      <c r="L66" s="5" t="s">
        <v>779</v>
      </c>
      <c r="M66" s="31">
        <v>0</v>
      </c>
      <c r="N66" s="37">
        <f t="shared" si="2"/>
        <v>0</v>
      </c>
    </row>
    <row r="67" spans="1:14" x14ac:dyDescent="0.25">
      <c r="A67" s="22" t="s">
        <v>123</v>
      </c>
      <c r="B67" s="5" t="s">
        <v>124</v>
      </c>
      <c r="C67" s="31">
        <v>3857</v>
      </c>
      <c r="D67" s="37">
        <f t="shared" si="0"/>
        <v>7.7140000000000004</v>
      </c>
      <c r="F67" s="22" t="s">
        <v>691</v>
      </c>
      <c r="G67" s="5" t="s">
        <v>338</v>
      </c>
      <c r="H67" s="31">
        <v>6928</v>
      </c>
      <c r="I67" s="37">
        <f t="shared" si="1"/>
        <v>13.856</v>
      </c>
      <c r="K67" s="22" t="s">
        <v>433</v>
      </c>
      <c r="L67" s="5" t="s">
        <v>532</v>
      </c>
      <c r="M67" s="31">
        <v>3958</v>
      </c>
      <c r="N67" s="37">
        <f t="shared" si="2"/>
        <v>7.9160000000000004</v>
      </c>
    </row>
    <row r="68" spans="1:14" x14ac:dyDescent="0.25">
      <c r="A68" s="22" t="s">
        <v>125</v>
      </c>
      <c r="B68" s="5" t="s">
        <v>126</v>
      </c>
      <c r="C68" s="31">
        <v>2539</v>
      </c>
      <c r="D68" s="37">
        <f t="shared" ref="D68:D131" si="4">C68/500</f>
        <v>5.0780000000000003</v>
      </c>
      <c r="F68" s="22" t="s">
        <v>277</v>
      </c>
      <c r="G68" s="5" t="s">
        <v>692</v>
      </c>
      <c r="H68" s="31">
        <v>3424</v>
      </c>
      <c r="I68" s="37">
        <f t="shared" ref="I68:I126" si="5">H68/500</f>
        <v>6.8479999999999999</v>
      </c>
      <c r="K68" s="22" t="s">
        <v>533</v>
      </c>
      <c r="L68" s="5" t="s">
        <v>534</v>
      </c>
      <c r="M68" s="31">
        <v>1754</v>
      </c>
      <c r="N68" s="37">
        <f t="shared" ref="N68:N69" si="6">M68/500</f>
        <v>3.508</v>
      </c>
    </row>
    <row r="69" spans="1:14" ht="15.75" thickBot="1" x14ac:dyDescent="0.3">
      <c r="A69" s="22" t="s">
        <v>127</v>
      </c>
      <c r="B69" s="5" t="s">
        <v>128</v>
      </c>
      <c r="C69" s="31">
        <v>41</v>
      </c>
      <c r="D69" s="37">
        <f t="shared" si="4"/>
        <v>8.2000000000000003E-2</v>
      </c>
      <c r="F69" s="22" t="s">
        <v>693</v>
      </c>
      <c r="G69" s="5" t="s">
        <v>340</v>
      </c>
      <c r="H69" s="31">
        <v>0</v>
      </c>
      <c r="I69" s="37">
        <f t="shared" si="5"/>
        <v>0</v>
      </c>
      <c r="K69" s="23" t="s">
        <v>447</v>
      </c>
      <c r="L69" s="24" t="s">
        <v>543</v>
      </c>
      <c r="M69" s="33">
        <v>148</v>
      </c>
      <c r="N69" s="38">
        <f t="shared" si="6"/>
        <v>0.29599999999999999</v>
      </c>
    </row>
    <row r="70" spans="1:14" x14ac:dyDescent="0.25">
      <c r="A70" s="22" t="s">
        <v>129</v>
      </c>
      <c r="B70" s="5" t="s">
        <v>130</v>
      </c>
      <c r="C70" s="31">
        <v>309</v>
      </c>
      <c r="D70" s="37">
        <f t="shared" si="4"/>
        <v>0.61799999999999999</v>
      </c>
      <c r="F70" s="22" t="s">
        <v>694</v>
      </c>
      <c r="G70" s="5" t="s">
        <v>341</v>
      </c>
      <c r="H70" s="31">
        <v>888</v>
      </c>
      <c r="I70" s="37">
        <f t="shared" si="5"/>
        <v>1.776</v>
      </c>
    </row>
    <row r="71" spans="1:14" x14ac:dyDescent="0.25">
      <c r="A71" s="22" t="s">
        <v>131</v>
      </c>
      <c r="B71" s="5" t="s">
        <v>132</v>
      </c>
      <c r="C71" s="31">
        <v>1121</v>
      </c>
      <c r="D71" s="37">
        <f t="shared" si="4"/>
        <v>2.242</v>
      </c>
      <c r="F71" s="22" t="s">
        <v>695</v>
      </c>
      <c r="G71" s="5" t="s">
        <v>343</v>
      </c>
      <c r="H71" s="31">
        <v>2485</v>
      </c>
      <c r="I71" s="37">
        <f t="shared" si="5"/>
        <v>4.97</v>
      </c>
    </row>
    <row r="72" spans="1:14" x14ac:dyDescent="0.25">
      <c r="A72" s="22" t="s">
        <v>133</v>
      </c>
      <c r="B72" s="5" t="s">
        <v>134</v>
      </c>
      <c r="C72" s="31">
        <v>3489</v>
      </c>
      <c r="D72" s="37">
        <f t="shared" si="4"/>
        <v>6.9779999999999998</v>
      </c>
      <c r="F72" s="22" t="s">
        <v>696</v>
      </c>
      <c r="G72" s="5" t="s">
        <v>345</v>
      </c>
      <c r="H72" s="31">
        <v>5666</v>
      </c>
      <c r="I72" s="37">
        <f t="shared" si="5"/>
        <v>11.332000000000001</v>
      </c>
    </row>
    <row r="73" spans="1:14" x14ac:dyDescent="0.25">
      <c r="A73" s="22" t="s">
        <v>135</v>
      </c>
      <c r="B73" s="5" t="s">
        <v>136</v>
      </c>
      <c r="C73" s="31">
        <v>219</v>
      </c>
      <c r="D73" s="37">
        <f t="shared" si="4"/>
        <v>0.438</v>
      </c>
      <c r="F73" s="22" t="s">
        <v>697</v>
      </c>
      <c r="G73" s="5" t="s">
        <v>347</v>
      </c>
      <c r="H73" s="31">
        <v>3374</v>
      </c>
      <c r="I73" s="37">
        <f t="shared" si="5"/>
        <v>6.7480000000000002</v>
      </c>
    </row>
    <row r="74" spans="1:14" x14ac:dyDescent="0.25">
      <c r="A74" s="22" t="s">
        <v>135</v>
      </c>
      <c r="B74" s="5" t="s">
        <v>137</v>
      </c>
      <c r="C74" s="31">
        <v>755</v>
      </c>
      <c r="D74" s="37">
        <f t="shared" si="4"/>
        <v>1.51</v>
      </c>
      <c r="F74" s="22" t="s">
        <v>698</v>
      </c>
      <c r="G74" s="5" t="s">
        <v>350</v>
      </c>
      <c r="H74" s="31">
        <v>2385</v>
      </c>
      <c r="I74" s="37">
        <f t="shared" si="5"/>
        <v>4.7699999999999996</v>
      </c>
    </row>
    <row r="75" spans="1:14" x14ac:dyDescent="0.25">
      <c r="A75" s="22" t="s">
        <v>135</v>
      </c>
      <c r="B75" s="5" t="s">
        <v>138</v>
      </c>
      <c r="C75" s="31">
        <v>634</v>
      </c>
      <c r="D75" s="37">
        <f t="shared" si="4"/>
        <v>1.268</v>
      </c>
      <c r="F75" s="22" t="s">
        <v>699</v>
      </c>
      <c r="G75" s="5" t="s">
        <v>352</v>
      </c>
      <c r="H75" s="31">
        <v>2471</v>
      </c>
      <c r="I75" s="37">
        <f t="shared" si="5"/>
        <v>4.9420000000000002</v>
      </c>
    </row>
    <row r="76" spans="1:14" x14ac:dyDescent="0.25">
      <c r="A76" s="22" t="s">
        <v>139</v>
      </c>
      <c r="B76" s="5" t="s">
        <v>140</v>
      </c>
      <c r="C76" s="31">
        <v>2993</v>
      </c>
      <c r="D76" s="37">
        <f t="shared" si="4"/>
        <v>5.9859999999999998</v>
      </c>
      <c r="F76" s="22" t="s">
        <v>700</v>
      </c>
      <c r="G76" s="5" t="s">
        <v>353</v>
      </c>
      <c r="H76" s="31">
        <v>0</v>
      </c>
      <c r="I76" s="37">
        <f t="shared" si="5"/>
        <v>0</v>
      </c>
    </row>
    <row r="77" spans="1:14" x14ac:dyDescent="0.25">
      <c r="A77" s="22" t="s">
        <v>141</v>
      </c>
      <c r="B77" s="5" t="s">
        <v>142</v>
      </c>
      <c r="C77" s="31">
        <v>1742</v>
      </c>
      <c r="D77" s="37">
        <f t="shared" si="4"/>
        <v>3.484</v>
      </c>
      <c r="F77" s="22" t="s">
        <v>701</v>
      </c>
      <c r="G77" s="5" t="s">
        <v>355</v>
      </c>
      <c r="H77" s="31">
        <v>0</v>
      </c>
      <c r="I77" s="37">
        <f t="shared" si="5"/>
        <v>0</v>
      </c>
    </row>
    <row r="78" spans="1:14" x14ac:dyDescent="0.25">
      <c r="A78" s="22" t="s">
        <v>143</v>
      </c>
      <c r="B78" s="5" t="s">
        <v>144</v>
      </c>
      <c r="C78" s="31">
        <v>0</v>
      </c>
      <c r="D78" s="37">
        <f t="shared" si="4"/>
        <v>0</v>
      </c>
      <c r="F78" s="22" t="s">
        <v>702</v>
      </c>
      <c r="G78" s="5" t="s">
        <v>703</v>
      </c>
      <c r="H78" s="31">
        <v>475</v>
      </c>
      <c r="I78" s="37">
        <f t="shared" si="5"/>
        <v>0.95</v>
      </c>
    </row>
    <row r="79" spans="1:14" x14ac:dyDescent="0.25">
      <c r="A79" s="22" t="s">
        <v>623</v>
      </c>
      <c r="B79" s="5" t="s">
        <v>624</v>
      </c>
      <c r="C79" s="31">
        <v>0</v>
      </c>
      <c r="D79" s="37">
        <f t="shared" si="4"/>
        <v>0</v>
      </c>
      <c r="F79" s="22" t="s">
        <v>704</v>
      </c>
      <c r="G79" s="5" t="s">
        <v>705</v>
      </c>
      <c r="H79" s="31">
        <v>6000</v>
      </c>
      <c r="I79" s="37">
        <f t="shared" si="5"/>
        <v>12</v>
      </c>
    </row>
    <row r="80" spans="1:14" x14ac:dyDescent="0.25">
      <c r="A80" s="22" t="s">
        <v>145</v>
      </c>
      <c r="B80" s="5" t="s">
        <v>625</v>
      </c>
      <c r="C80" s="31">
        <v>0</v>
      </c>
      <c r="D80" s="37">
        <f t="shared" si="4"/>
        <v>0</v>
      </c>
      <c r="F80" s="22" t="s">
        <v>707</v>
      </c>
      <c r="G80" s="5" t="s">
        <v>358</v>
      </c>
      <c r="H80" s="31">
        <v>1911</v>
      </c>
      <c r="I80" s="37">
        <f t="shared" si="5"/>
        <v>3.8220000000000001</v>
      </c>
    </row>
    <row r="81" spans="1:9" x14ac:dyDescent="0.25">
      <c r="A81" s="22" t="s">
        <v>626</v>
      </c>
      <c r="B81" s="5" t="s">
        <v>627</v>
      </c>
      <c r="C81" s="31">
        <v>2218</v>
      </c>
      <c r="D81" s="37">
        <f t="shared" si="4"/>
        <v>4.4359999999999999</v>
      </c>
      <c r="F81" s="22" t="s">
        <v>708</v>
      </c>
      <c r="G81" s="5" t="s">
        <v>360</v>
      </c>
      <c r="H81" s="31">
        <v>451</v>
      </c>
      <c r="I81" s="37">
        <f t="shared" si="5"/>
        <v>0.90200000000000002</v>
      </c>
    </row>
    <row r="82" spans="1:9" x14ac:dyDescent="0.25">
      <c r="A82" s="22" t="s">
        <v>628</v>
      </c>
      <c r="B82" s="5" t="s">
        <v>88</v>
      </c>
      <c r="C82" s="31">
        <v>490</v>
      </c>
      <c r="D82" s="37">
        <f t="shared" si="4"/>
        <v>0.98</v>
      </c>
      <c r="F82" s="22" t="s">
        <v>709</v>
      </c>
      <c r="G82" s="5" t="s">
        <v>362</v>
      </c>
      <c r="H82" s="31">
        <v>7943</v>
      </c>
      <c r="I82" s="37">
        <f t="shared" si="5"/>
        <v>15.885999999999999</v>
      </c>
    </row>
    <row r="83" spans="1:9" x14ac:dyDescent="0.25">
      <c r="A83" s="22" t="s">
        <v>33</v>
      </c>
      <c r="B83" s="5" t="s">
        <v>147</v>
      </c>
      <c r="C83" s="31">
        <v>864</v>
      </c>
      <c r="D83" s="37">
        <f t="shared" si="4"/>
        <v>1.728</v>
      </c>
      <c r="F83" s="22" t="s">
        <v>710</v>
      </c>
      <c r="G83" s="5" t="s">
        <v>364</v>
      </c>
      <c r="H83" s="31">
        <v>1085</v>
      </c>
      <c r="I83" s="37">
        <f t="shared" si="5"/>
        <v>2.17</v>
      </c>
    </row>
    <row r="84" spans="1:9" x14ac:dyDescent="0.25">
      <c r="A84" s="22" t="s">
        <v>69</v>
      </c>
      <c r="B84" s="5" t="s">
        <v>148</v>
      </c>
      <c r="C84" s="31">
        <v>901</v>
      </c>
      <c r="D84" s="37">
        <f t="shared" si="4"/>
        <v>1.802</v>
      </c>
      <c r="F84" s="22" t="s">
        <v>711</v>
      </c>
      <c r="G84" s="5" t="s">
        <v>365</v>
      </c>
      <c r="H84" s="31">
        <v>6124</v>
      </c>
      <c r="I84" s="37">
        <f t="shared" si="5"/>
        <v>12.247999999999999</v>
      </c>
    </row>
    <row r="85" spans="1:9" x14ac:dyDescent="0.25">
      <c r="A85" s="22" t="s">
        <v>149</v>
      </c>
      <c r="B85" s="5" t="s">
        <v>150</v>
      </c>
      <c r="C85" s="31">
        <v>1829</v>
      </c>
      <c r="D85" s="37">
        <f t="shared" si="4"/>
        <v>3.6579999999999999</v>
      </c>
      <c r="F85" s="22" t="s">
        <v>714</v>
      </c>
      <c r="G85" s="5" t="s">
        <v>367</v>
      </c>
      <c r="H85" s="31">
        <v>1033</v>
      </c>
      <c r="I85" s="37">
        <f t="shared" si="5"/>
        <v>2.0659999999999998</v>
      </c>
    </row>
    <row r="86" spans="1:9" x14ac:dyDescent="0.25">
      <c r="A86" s="22" t="s">
        <v>46</v>
      </c>
      <c r="B86" s="5" t="s">
        <v>151</v>
      </c>
      <c r="C86" s="31">
        <v>2327</v>
      </c>
      <c r="D86" s="37">
        <f t="shared" si="4"/>
        <v>4.6539999999999999</v>
      </c>
      <c r="F86" s="22" t="s">
        <v>715</v>
      </c>
      <c r="G86" s="5" t="s">
        <v>369</v>
      </c>
      <c r="H86" s="31">
        <v>3569</v>
      </c>
      <c r="I86" s="37">
        <f t="shared" si="5"/>
        <v>7.1379999999999999</v>
      </c>
    </row>
    <row r="87" spans="1:9" x14ac:dyDescent="0.25">
      <c r="A87" s="22" t="s">
        <v>152</v>
      </c>
      <c r="B87" s="5" t="s">
        <v>153</v>
      </c>
      <c r="C87" s="31">
        <v>1468</v>
      </c>
      <c r="D87" s="37">
        <f t="shared" si="4"/>
        <v>2.9359999999999999</v>
      </c>
      <c r="F87" s="22" t="s">
        <v>716</v>
      </c>
      <c r="G87" s="5" t="s">
        <v>718</v>
      </c>
      <c r="H87" s="31">
        <v>8319</v>
      </c>
      <c r="I87" s="37">
        <f t="shared" si="5"/>
        <v>16.638000000000002</v>
      </c>
    </row>
    <row r="88" spans="1:9" x14ac:dyDescent="0.25">
      <c r="A88" s="22" t="s">
        <v>5</v>
      </c>
      <c r="B88" s="5" t="s">
        <v>221</v>
      </c>
      <c r="C88" s="31">
        <v>0</v>
      </c>
      <c r="D88" s="37">
        <f t="shared" si="4"/>
        <v>0</v>
      </c>
      <c r="F88" s="22" t="s">
        <v>719</v>
      </c>
      <c r="G88" s="5" t="s">
        <v>371</v>
      </c>
      <c r="H88" s="31">
        <v>260</v>
      </c>
      <c r="I88" s="37">
        <f t="shared" si="5"/>
        <v>0.52</v>
      </c>
    </row>
    <row r="89" spans="1:9" x14ac:dyDescent="0.25">
      <c r="A89" s="22" t="s">
        <v>35</v>
      </c>
      <c r="B89" s="5" t="s">
        <v>155</v>
      </c>
      <c r="C89" s="31">
        <v>0</v>
      </c>
      <c r="D89" s="37">
        <f t="shared" si="4"/>
        <v>0</v>
      </c>
      <c r="F89" s="22" t="s">
        <v>664</v>
      </c>
      <c r="G89" s="5" t="s">
        <v>372</v>
      </c>
      <c r="H89" s="31">
        <v>4987</v>
      </c>
      <c r="I89" s="37">
        <f t="shared" si="5"/>
        <v>9.9740000000000002</v>
      </c>
    </row>
    <row r="90" spans="1:9" x14ac:dyDescent="0.25">
      <c r="A90" s="22" t="s">
        <v>14</v>
      </c>
      <c r="B90" s="5" t="s">
        <v>156</v>
      </c>
      <c r="C90" s="31">
        <v>518</v>
      </c>
      <c r="D90" s="37">
        <f t="shared" si="4"/>
        <v>1.036</v>
      </c>
      <c r="F90" s="22" t="s">
        <v>720</v>
      </c>
      <c r="G90" s="5" t="s">
        <v>721</v>
      </c>
      <c r="H90" s="31">
        <v>7067</v>
      </c>
      <c r="I90" s="37">
        <f t="shared" si="5"/>
        <v>14.134</v>
      </c>
    </row>
    <row r="91" spans="1:9" x14ac:dyDescent="0.25">
      <c r="A91" s="22" t="s">
        <v>157</v>
      </c>
      <c r="B91" s="5" t="s">
        <v>158</v>
      </c>
      <c r="C91" s="31">
        <v>1070</v>
      </c>
      <c r="D91" s="37">
        <f t="shared" si="4"/>
        <v>2.14</v>
      </c>
      <c r="F91" s="22" t="s">
        <v>644</v>
      </c>
      <c r="G91" s="5" t="s">
        <v>373</v>
      </c>
      <c r="H91" s="31">
        <v>3048</v>
      </c>
      <c r="I91" s="37">
        <f t="shared" si="5"/>
        <v>6.0960000000000001</v>
      </c>
    </row>
    <row r="92" spans="1:9" x14ac:dyDescent="0.25">
      <c r="A92" s="22" t="s">
        <v>42</v>
      </c>
      <c r="B92" s="5" t="s">
        <v>159</v>
      </c>
      <c r="C92" s="31">
        <v>203</v>
      </c>
      <c r="D92" s="37">
        <f t="shared" si="4"/>
        <v>0.40600000000000003</v>
      </c>
      <c r="F92" s="22" t="s">
        <v>722</v>
      </c>
      <c r="G92" s="5" t="s">
        <v>723</v>
      </c>
      <c r="H92" s="31">
        <v>11616</v>
      </c>
      <c r="I92" s="37">
        <f t="shared" si="5"/>
        <v>23.231999999999999</v>
      </c>
    </row>
    <row r="93" spans="1:9" x14ac:dyDescent="0.25">
      <c r="A93" s="22" t="s">
        <v>38</v>
      </c>
      <c r="B93" s="5" t="s">
        <v>160</v>
      </c>
      <c r="C93" s="31">
        <v>4746</v>
      </c>
      <c r="D93" s="37">
        <f t="shared" si="4"/>
        <v>9.4920000000000009</v>
      </c>
      <c r="F93" s="22" t="s">
        <v>724</v>
      </c>
      <c r="G93" s="5" t="s">
        <v>374</v>
      </c>
      <c r="H93" s="31">
        <v>5306</v>
      </c>
      <c r="I93" s="37">
        <f t="shared" si="5"/>
        <v>10.612</v>
      </c>
    </row>
    <row r="94" spans="1:9" x14ac:dyDescent="0.25">
      <c r="A94" s="22" t="s">
        <v>29</v>
      </c>
      <c r="B94" s="5" t="s">
        <v>161</v>
      </c>
      <c r="C94" s="31">
        <v>243</v>
      </c>
      <c r="D94" s="37">
        <f t="shared" si="4"/>
        <v>0.48599999999999999</v>
      </c>
      <c r="F94" s="22" t="s">
        <v>725</v>
      </c>
      <c r="G94" s="5" t="s">
        <v>376</v>
      </c>
      <c r="H94" s="31">
        <v>4397</v>
      </c>
      <c r="I94" s="37">
        <f t="shared" si="5"/>
        <v>8.7940000000000005</v>
      </c>
    </row>
    <row r="95" spans="1:9" x14ac:dyDescent="0.25">
      <c r="A95" s="22" t="s">
        <v>163</v>
      </c>
      <c r="B95" s="5" t="s">
        <v>164</v>
      </c>
      <c r="C95" s="31">
        <v>30</v>
      </c>
      <c r="D95" s="37">
        <f t="shared" si="4"/>
        <v>0.06</v>
      </c>
      <c r="F95" s="22" t="s">
        <v>726</v>
      </c>
      <c r="G95" s="5" t="s">
        <v>377</v>
      </c>
      <c r="H95" s="31">
        <v>18220</v>
      </c>
      <c r="I95" s="37">
        <f t="shared" si="5"/>
        <v>36.44</v>
      </c>
    </row>
    <row r="96" spans="1:9" x14ac:dyDescent="0.25">
      <c r="A96" s="22" t="s">
        <v>35</v>
      </c>
      <c r="B96" s="5" t="s">
        <v>165</v>
      </c>
      <c r="C96" s="31">
        <v>2087</v>
      </c>
      <c r="D96" s="37">
        <f t="shared" si="4"/>
        <v>4.1740000000000004</v>
      </c>
      <c r="F96" s="22" t="s">
        <v>727</v>
      </c>
      <c r="G96" s="5" t="s">
        <v>379</v>
      </c>
      <c r="H96" s="31">
        <v>1375</v>
      </c>
      <c r="I96" s="37">
        <f t="shared" si="5"/>
        <v>2.75</v>
      </c>
    </row>
    <row r="97" spans="1:9" x14ac:dyDescent="0.25">
      <c r="A97" s="22" t="s">
        <v>33</v>
      </c>
      <c r="B97" s="5" t="s">
        <v>166</v>
      </c>
      <c r="C97" s="31">
        <v>0</v>
      </c>
      <c r="D97" s="37">
        <f t="shared" si="4"/>
        <v>0</v>
      </c>
      <c r="F97" s="22" t="s">
        <v>230</v>
      </c>
      <c r="G97" s="5" t="s">
        <v>381</v>
      </c>
      <c r="H97" s="31">
        <v>2875</v>
      </c>
      <c r="I97" s="37">
        <f t="shared" si="5"/>
        <v>5.75</v>
      </c>
    </row>
    <row r="98" spans="1:9" x14ac:dyDescent="0.25">
      <c r="A98" s="22" t="s">
        <v>167</v>
      </c>
      <c r="B98" s="5" t="s">
        <v>168</v>
      </c>
      <c r="C98" s="31">
        <v>606</v>
      </c>
      <c r="D98" s="37">
        <f t="shared" si="4"/>
        <v>1.212</v>
      </c>
      <c r="F98" s="22" t="s">
        <v>728</v>
      </c>
      <c r="G98" s="5" t="s">
        <v>383</v>
      </c>
      <c r="H98" s="31">
        <v>2839</v>
      </c>
      <c r="I98" s="37">
        <f t="shared" si="5"/>
        <v>5.6779999999999999</v>
      </c>
    </row>
    <row r="99" spans="1:9" x14ac:dyDescent="0.25">
      <c r="A99" s="22" t="s">
        <v>57</v>
      </c>
      <c r="B99" s="5" t="s">
        <v>169</v>
      </c>
      <c r="C99" s="31">
        <v>722</v>
      </c>
      <c r="D99" s="37">
        <f t="shared" si="4"/>
        <v>1.444</v>
      </c>
      <c r="F99" s="22" t="s">
        <v>729</v>
      </c>
      <c r="G99" s="5" t="s">
        <v>385</v>
      </c>
      <c r="H99" s="31">
        <v>1191</v>
      </c>
      <c r="I99" s="37">
        <f t="shared" si="5"/>
        <v>2.3820000000000001</v>
      </c>
    </row>
    <row r="100" spans="1:9" x14ac:dyDescent="0.25">
      <c r="A100" s="22" t="s">
        <v>170</v>
      </c>
      <c r="B100" s="5" t="s">
        <v>171</v>
      </c>
      <c r="C100" s="31">
        <v>254</v>
      </c>
      <c r="D100" s="37">
        <f t="shared" si="4"/>
        <v>0.50800000000000001</v>
      </c>
      <c r="F100" s="22" t="s">
        <v>730</v>
      </c>
      <c r="G100" s="5" t="s">
        <v>387</v>
      </c>
      <c r="H100" s="31">
        <v>2872</v>
      </c>
      <c r="I100" s="37">
        <f t="shared" si="5"/>
        <v>5.7439999999999998</v>
      </c>
    </row>
    <row r="101" spans="1:9" x14ac:dyDescent="0.25">
      <c r="A101" s="22" t="s">
        <v>35</v>
      </c>
      <c r="B101" s="5" t="s">
        <v>172</v>
      </c>
      <c r="C101" s="31">
        <v>1413</v>
      </c>
      <c r="D101" s="37">
        <f t="shared" si="4"/>
        <v>2.8260000000000001</v>
      </c>
      <c r="F101" s="22" t="s">
        <v>674</v>
      </c>
      <c r="G101" s="5" t="s">
        <v>388</v>
      </c>
      <c r="H101" s="31">
        <v>3488</v>
      </c>
      <c r="I101" s="37">
        <f t="shared" si="5"/>
        <v>6.976</v>
      </c>
    </row>
    <row r="102" spans="1:9" x14ac:dyDescent="0.25">
      <c r="A102" s="22" t="s">
        <v>10</v>
      </c>
      <c r="B102" s="5" t="s">
        <v>173</v>
      </c>
      <c r="C102" s="31">
        <v>0</v>
      </c>
      <c r="D102" s="37">
        <f t="shared" si="4"/>
        <v>0</v>
      </c>
      <c r="F102" s="22" t="s">
        <v>731</v>
      </c>
      <c r="G102" s="5" t="s">
        <v>390</v>
      </c>
      <c r="H102" s="31">
        <v>1340</v>
      </c>
      <c r="I102" s="37">
        <f t="shared" si="5"/>
        <v>2.68</v>
      </c>
    </row>
    <row r="103" spans="1:9" x14ac:dyDescent="0.25">
      <c r="A103" s="22" t="s">
        <v>48</v>
      </c>
      <c r="B103" s="5" t="s">
        <v>174</v>
      </c>
      <c r="C103" s="31">
        <v>406</v>
      </c>
      <c r="D103" s="37">
        <f t="shared" si="4"/>
        <v>0.81200000000000006</v>
      </c>
      <c r="F103" s="22" t="s">
        <v>732</v>
      </c>
      <c r="G103" s="5" t="s">
        <v>392</v>
      </c>
      <c r="H103" s="31">
        <v>0</v>
      </c>
      <c r="I103" s="37">
        <f t="shared" si="5"/>
        <v>0</v>
      </c>
    </row>
    <row r="104" spans="1:9" x14ac:dyDescent="0.25">
      <c r="A104" s="22" t="s">
        <v>175</v>
      </c>
      <c r="B104" s="5" t="s">
        <v>176</v>
      </c>
      <c r="C104" s="31">
        <v>37</v>
      </c>
      <c r="D104" s="37">
        <f t="shared" si="4"/>
        <v>7.3999999999999996E-2</v>
      </c>
      <c r="F104" s="22" t="s">
        <v>733</v>
      </c>
      <c r="G104" s="5" t="s">
        <v>394</v>
      </c>
      <c r="H104" s="31">
        <v>479</v>
      </c>
      <c r="I104" s="37">
        <f t="shared" si="5"/>
        <v>0.95799999999999996</v>
      </c>
    </row>
    <row r="105" spans="1:9" x14ac:dyDescent="0.25">
      <c r="A105" s="22" t="s">
        <v>177</v>
      </c>
      <c r="B105" s="5" t="s">
        <v>178</v>
      </c>
      <c r="C105" s="31">
        <v>1042</v>
      </c>
      <c r="D105" s="37">
        <f t="shared" si="4"/>
        <v>2.0840000000000001</v>
      </c>
      <c r="F105" s="22" t="s">
        <v>734</v>
      </c>
      <c r="G105" s="5" t="s">
        <v>736</v>
      </c>
      <c r="H105" s="31">
        <v>3183</v>
      </c>
      <c r="I105" s="37">
        <f t="shared" si="5"/>
        <v>6.3659999999999997</v>
      </c>
    </row>
    <row r="106" spans="1:9" x14ac:dyDescent="0.25">
      <c r="A106" s="22" t="s">
        <v>22</v>
      </c>
      <c r="B106" s="5" t="s">
        <v>179</v>
      </c>
      <c r="C106" s="31">
        <v>2132</v>
      </c>
      <c r="D106" s="37">
        <f t="shared" si="4"/>
        <v>4.2640000000000002</v>
      </c>
      <c r="F106" s="22" t="s">
        <v>740</v>
      </c>
      <c r="G106" s="5" t="s">
        <v>396</v>
      </c>
      <c r="H106" s="31">
        <v>434</v>
      </c>
      <c r="I106" s="37">
        <f t="shared" si="5"/>
        <v>0.86799999999999999</v>
      </c>
    </row>
    <row r="107" spans="1:9" x14ac:dyDescent="0.25">
      <c r="A107" s="22" t="s">
        <v>77</v>
      </c>
      <c r="B107" s="5" t="s">
        <v>180</v>
      </c>
      <c r="C107" s="31">
        <v>1745</v>
      </c>
      <c r="D107" s="37">
        <f t="shared" si="4"/>
        <v>3.49</v>
      </c>
      <c r="F107" s="22" t="s">
        <v>741</v>
      </c>
      <c r="G107" s="5" t="s">
        <v>398</v>
      </c>
      <c r="H107" s="31">
        <v>530</v>
      </c>
      <c r="I107" s="37">
        <f t="shared" si="5"/>
        <v>1.06</v>
      </c>
    </row>
    <row r="108" spans="1:9" x14ac:dyDescent="0.25">
      <c r="A108" s="22" t="s">
        <v>113</v>
      </c>
      <c r="B108" s="5" t="s">
        <v>181</v>
      </c>
      <c r="C108" s="31">
        <v>220</v>
      </c>
      <c r="D108" s="37">
        <f t="shared" si="4"/>
        <v>0.44</v>
      </c>
      <c r="F108" s="22" t="s">
        <v>742</v>
      </c>
      <c r="G108" s="5" t="s">
        <v>400</v>
      </c>
      <c r="H108" s="31">
        <v>958</v>
      </c>
      <c r="I108" s="37">
        <f t="shared" si="5"/>
        <v>1.9159999999999999</v>
      </c>
    </row>
    <row r="109" spans="1:9" x14ac:dyDescent="0.25">
      <c r="A109" s="22" t="s">
        <v>35</v>
      </c>
      <c r="B109" s="5" t="s">
        <v>182</v>
      </c>
      <c r="C109" s="31">
        <v>0</v>
      </c>
      <c r="D109" s="37">
        <f t="shared" si="4"/>
        <v>0</v>
      </c>
      <c r="F109" s="22" t="s">
        <v>743</v>
      </c>
      <c r="G109" s="5" t="s">
        <v>402</v>
      </c>
      <c r="H109" s="31">
        <v>827</v>
      </c>
      <c r="I109" s="37">
        <f t="shared" si="5"/>
        <v>1.6539999999999999</v>
      </c>
    </row>
    <row r="110" spans="1:9" x14ac:dyDescent="0.25">
      <c r="A110" s="22" t="s">
        <v>183</v>
      </c>
      <c r="B110" s="5" t="s">
        <v>184</v>
      </c>
      <c r="C110" s="31">
        <v>1917</v>
      </c>
      <c r="D110" s="37">
        <f t="shared" si="4"/>
        <v>3.8340000000000001</v>
      </c>
      <c r="F110" s="22" t="s">
        <v>744</v>
      </c>
      <c r="G110" s="5" t="s">
        <v>404</v>
      </c>
      <c r="H110" s="31">
        <v>707</v>
      </c>
      <c r="I110" s="37">
        <f t="shared" si="5"/>
        <v>1.4139999999999999</v>
      </c>
    </row>
    <row r="111" spans="1:9" x14ac:dyDescent="0.25">
      <c r="A111" s="22" t="s">
        <v>22</v>
      </c>
      <c r="B111" s="5" t="s">
        <v>222</v>
      </c>
      <c r="C111" s="31">
        <v>1906</v>
      </c>
      <c r="D111" s="37">
        <f t="shared" si="4"/>
        <v>3.8119999999999998</v>
      </c>
      <c r="F111" s="22" t="s">
        <v>745</v>
      </c>
      <c r="G111" s="5" t="s">
        <v>406</v>
      </c>
      <c r="H111" s="31">
        <v>950</v>
      </c>
      <c r="I111" s="37">
        <f t="shared" si="5"/>
        <v>1.9</v>
      </c>
    </row>
    <row r="112" spans="1:9" x14ac:dyDescent="0.25">
      <c r="A112" s="22" t="s">
        <v>186</v>
      </c>
      <c r="B112" s="5" t="s">
        <v>187</v>
      </c>
      <c r="C112" s="31">
        <v>0</v>
      </c>
      <c r="D112" s="37">
        <f t="shared" si="4"/>
        <v>0</v>
      </c>
      <c r="F112" s="22" t="s">
        <v>746</v>
      </c>
      <c r="G112" s="5" t="s">
        <v>408</v>
      </c>
      <c r="H112" s="31">
        <v>588</v>
      </c>
      <c r="I112" s="37">
        <f t="shared" si="5"/>
        <v>1.1759999999999999</v>
      </c>
    </row>
    <row r="113" spans="1:9" x14ac:dyDescent="0.25">
      <c r="A113" s="22" t="s">
        <v>188</v>
      </c>
      <c r="B113" s="5" t="s">
        <v>189</v>
      </c>
      <c r="C113" s="31">
        <v>1028</v>
      </c>
      <c r="D113" s="37">
        <f t="shared" si="4"/>
        <v>2.056</v>
      </c>
      <c r="F113" s="22" t="s">
        <v>747</v>
      </c>
      <c r="G113" s="5" t="s">
        <v>410</v>
      </c>
      <c r="H113" s="31">
        <v>1056</v>
      </c>
      <c r="I113" s="37">
        <f t="shared" si="5"/>
        <v>2.1120000000000001</v>
      </c>
    </row>
    <row r="114" spans="1:9" x14ac:dyDescent="0.25">
      <c r="A114" s="22" t="s">
        <v>190</v>
      </c>
      <c r="B114" s="5" t="s">
        <v>191</v>
      </c>
      <c r="C114" s="31">
        <v>40</v>
      </c>
      <c r="D114" s="37">
        <f t="shared" si="4"/>
        <v>0.08</v>
      </c>
      <c r="F114" s="22" t="s">
        <v>748</v>
      </c>
      <c r="G114" s="5" t="s">
        <v>412</v>
      </c>
      <c r="H114" s="31">
        <v>560</v>
      </c>
      <c r="I114" s="37">
        <f t="shared" si="5"/>
        <v>1.1200000000000001</v>
      </c>
    </row>
    <row r="115" spans="1:9" x14ac:dyDescent="0.25">
      <c r="A115" s="22" t="s">
        <v>44</v>
      </c>
      <c r="B115" s="5" t="s">
        <v>192</v>
      </c>
      <c r="C115" s="31">
        <v>0</v>
      </c>
      <c r="D115" s="37">
        <f t="shared" si="4"/>
        <v>0</v>
      </c>
      <c r="F115" s="22" t="s">
        <v>749</v>
      </c>
      <c r="G115" s="5" t="s">
        <v>414</v>
      </c>
      <c r="H115" s="31">
        <v>1227</v>
      </c>
      <c r="I115" s="37">
        <f t="shared" si="5"/>
        <v>2.4540000000000002</v>
      </c>
    </row>
    <row r="116" spans="1:9" x14ac:dyDescent="0.25">
      <c r="A116" s="22" t="s">
        <v>193</v>
      </c>
      <c r="B116" s="5" t="s">
        <v>194</v>
      </c>
      <c r="C116" s="31">
        <v>246</v>
      </c>
      <c r="D116" s="37">
        <f t="shared" si="4"/>
        <v>0.49199999999999999</v>
      </c>
      <c r="F116" s="22" t="s">
        <v>694</v>
      </c>
      <c r="G116" s="5" t="s">
        <v>415</v>
      </c>
      <c r="H116" s="31">
        <v>927</v>
      </c>
      <c r="I116" s="37">
        <f t="shared" si="5"/>
        <v>1.8540000000000001</v>
      </c>
    </row>
    <row r="117" spans="1:9" x14ac:dyDescent="0.25">
      <c r="A117" s="22" t="s">
        <v>3</v>
      </c>
      <c r="B117" s="5" t="s">
        <v>195</v>
      </c>
      <c r="C117" s="31">
        <v>1365</v>
      </c>
      <c r="D117" s="37">
        <f t="shared" si="4"/>
        <v>2.73</v>
      </c>
      <c r="F117" s="22" t="s">
        <v>750</v>
      </c>
      <c r="G117" s="5" t="s">
        <v>417</v>
      </c>
      <c r="H117" s="31">
        <v>341</v>
      </c>
      <c r="I117" s="37">
        <f t="shared" si="5"/>
        <v>0.68200000000000005</v>
      </c>
    </row>
    <row r="118" spans="1:9" x14ac:dyDescent="0.25">
      <c r="A118" s="22" t="s">
        <v>22</v>
      </c>
      <c r="B118" s="5" t="s">
        <v>196</v>
      </c>
      <c r="C118" s="31">
        <v>3700</v>
      </c>
      <c r="D118" s="37">
        <f t="shared" si="4"/>
        <v>7.4</v>
      </c>
      <c r="F118" s="22" t="s">
        <v>751</v>
      </c>
      <c r="G118" s="5" t="s">
        <v>419</v>
      </c>
      <c r="H118" s="31">
        <v>4915</v>
      </c>
      <c r="I118" s="37">
        <f t="shared" si="5"/>
        <v>9.83</v>
      </c>
    </row>
    <row r="119" spans="1:9" x14ac:dyDescent="0.25">
      <c r="A119" s="22" t="s">
        <v>149</v>
      </c>
      <c r="B119" s="5" t="s">
        <v>197</v>
      </c>
      <c r="C119" s="31">
        <v>232</v>
      </c>
      <c r="D119" s="37">
        <f t="shared" si="4"/>
        <v>0.46400000000000002</v>
      </c>
      <c r="F119" s="22" t="s">
        <v>663</v>
      </c>
      <c r="G119" s="5" t="s">
        <v>421</v>
      </c>
      <c r="H119" s="31">
        <v>0</v>
      </c>
      <c r="I119" s="37">
        <f t="shared" si="5"/>
        <v>0</v>
      </c>
    </row>
    <row r="120" spans="1:9" x14ac:dyDescent="0.25">
      <c r="A120" s="22" t="s">
        <v>198</v>
      </c>
      <c r="B120" s="5" t="s">
        <v>199</v>
      </c>
      <c r="C120" s="31">
        <v>594</v>
      </c>
      <c r="D120" s="37">
        <f t="shared" si="4"/>
        <v>1.1879999999999999</v>
      </c>
      <c r="F120" s="22" t="s">
        <v>752</v>
      </c>
      <c r="G120" s="5" t="s">
        <v>753</v>
      </c>
      <c r="H120" s="31">
        <v>2956</v>
      </c>
      <c r="I120" s="37">
        <f t="shared" si="5"/>
        <v>5.9119999999999999</v>
      </c>
    </row>
    <row r="121" spans="1:9" x14ac:dyDescent="0.25">
      <c r="A121" s="22" t="s">
        <v>200</v>
      </c>
      <c r="B121" s="5" t="s">
        <v>201</v>
      </c>
      <c r="C121" s="31">
        <v>0</v>
      </c>
      <c r="D121" s="37">
        <f t="shared" si="4"/>
        <v>0</v>
      </c>
      <c r="F121" s="22" t="s">
        <v>423</v>
      </c>
      <c r="G121" s="5" t="s">
        <v>754</v>
      </c>
      <c r="H121" s="31">
        <v>1</v>
      </c>
      <c r="I121" s="37">
        <f t="shared" si="5"/>
        <v>2E-3</v>
      </c>
    </row>
    <row r="122" spans="1:9" x14ac:dyDescent="0.25">
      <c r="A122" s="22" t="s">
        <v>121</v>
      </c>
      <c r="B122" s="5" t="s">
        <v>202</v>
      </c>
      <c r="C122" s="31">
        <v>650</v>
      </c>
      <c r="D122" s="37">
        <f t="shared" si="4"/>
        <v>1.3</v>
      </c>
      <c r="F122" s="22" t="s">
        <v>755</v>
      </c>
      <c r="G122" s="5" t="s">
        <v>422</v>
      </c>
      <c r="H122" s="31">
        <v>5883</v>
      </c>
      <c r="I122" s="37">
        <f t="shared" si="5"/>
        <v>11.766</v>
      </c>
    </row>
    <row r="123" spans="1:9" x14ac:dyDescent="0.25">
      <c r="A123" s="22" t="s">
        <v>203</v>
      </c>
      <c r="B123" s="5" t="s">
        <v>204</v>
      </c>
      <c r="C123" s="31">
        <v>29</v>
      </c>
      <c r="D123" s="37">
        <f t="shared" si="4"/>
        <v>5.8000000000000003E-2</v>
      </c>
      <c r="F123" s="22" t="s">
        <v>756</v>
      </c>
      <c r="G123" s="5" t="s">
        <v>162</v>
      </c>
      <c r="H123" s="31">
        <v>4429</v>
      </c>
      <c r="I123" s="37">
        <f t="shared" si="5"/>
        <v>8.8580000000000005</v>
      </c>
    </row>
    <row r="124" spans="1:9" x14ac:dyDescent="0.25">
      <c r="A124" s="22" t="s">
        <v>205</v>
      </c>
      <c r="B124" s="5" t="s">
        <v>206</v>
      </c>
      <c r="C124" s="31">
        <v>102</v>
      </c>
      <c r="D124" s="37">
        <f t="shared" si="4"/>
        <v>0.20399999999999999</v>
      </c>
      <c r="F124" s="22" t="s">
        <v>759</v>
      </c>
      <c r="G124" s="5" t="s">
        <v>738</v>
      </c>
      <c r="H124" s="31">
        <v>8718</v>
      </c>
      <c r="I124" s="37">
        <f t="shared" si="5"/>
        <v>17.436</v>
      </c>
    </row>
    <row r="125" spans="1:9" x14ac:dyDescent="0.25">
      <c r="A125" s="22" t="s">
        <v>100</v>
      </c>
      <c r="B125" s="5" t="s">
        <v>207</v>
      </c>
      <c r="C125" s="31">
        <v>0</v>
      </c>
      <c r="D125" s="37">
        <f t="shared" si="4"/>
        <v>0</v>
      </c>
      <c r="F125" s="22" t="s">
        <v>780</v>
      </c>
      <c r="G125" s="5" t="s">
        <v>781</v>
      </c>
      <c r="H125" s="31">
        <v>0</v>
      </c>
      <c r="I125" s="37">
        <f t="shared" si="5"/>
        <v>0</v>
      </c>
    </row>
    <row r="126" spans="1:9" ht="15.75" thickBot="1" x14ac:dyDescent="0.3">
      <c r="A126" s="22" t="s">
        <v>208</v>
      </c>
      <c r="B126" s="5" t="s">
        <v>209</v>
      </c>
      <c r="C126" s="31">
        <v>218</v>
      </c>
      <c r="D126" s="37">
        <f t="shared" si="4"/>
        <v>0.436</v>
      </c>
      <c r="F126" s="25" t="s">
        <v>782</v>
      </c>
      <c r="G126" s="26" t="s">
        <v>713</v>
      </c>
      <c r="H126" s="33">
        <v>0</v>
      </c>
      <c r="I126" s="38">
        <f t="shared" si="5"/>
        <v>0</v>
      </c>
    </row>
    <row r="127" spans="1:9" x14ac:dyDescent="0.25">
      <c r="A127" s="22" t="s">
        <v>210</v>
      </c>
      <c r="B127" s="5" t="s">
        <v>211</v>
      </c>
      <c r="C127" s="31">
        <v>714</v>
      </c>
      <c r="D127" s="37">
        <f t="shared" si="4"/>
        <v>1.4279999999999999</v>
      </c>
    </row>
    <row r="128" spans="1:9" x14ac:dyDescent="0.25">
      <c r="A128" s="22" t="s">
        <v>212</v>
      </c>
      <c r="B128" s="5" t="s">
        <v>213</v>
      </c>
      <c r="C128" s="31">
        <v>274</v>
      </c>
      <c r="D128" s="37">
        <f t="shared" si="4"/>
        <v>0.54800000000000004</v>
      </c>
    </row>
    <row r="129" spans="1:4" x14ac:dyDescent="0.25">
      <c r="A129" s="22" t="s">
        <v>214</v>
      </c>
      <c r="B129" s="5" t="s">
        <v>215</v>
      </c>
      <c r="C129" s="31">
        <v>0</v>
      </c>
      <c r="D129" s="37">
        <f t="shared" si="4"/>
        <v>0</v>
      </c>
    </row>
    <row r="130" spans="1:4" x14ac:dyDescent="0.25">
      <c r="A130" s="22" t="s">
        <v>216</v>
      </c>
      <c r="B130" s="5" t="s">
        <v>217</v>
      </c>
      <c r="C130" s="31">
        <v>243</v>
      </c>
      <c r="D130" s="37">
        <f t="shared" si="4"/>
        <v>0.48599999999999999</v>
      </c>
    </row>
    <row r="131" spans="1:4" ht="15.75" thickBot="1" x14ac:dyDescent="0.3">
      <c r="A131" s="23" t="s">
        <v>629</v>
      </c>
      <c r="B131" s="24" t="s">
        <v>619</v>
      </c>
      <c r="C131" s="33">
        <v>0</v>
      </c>
      <c r="D131" s="38">
        <f t="shared" si="4"/>
        <v>0</v>
      </c>
    </row>
  </sheetData>
  <mergeCells count="4">
    <mergeCell ref="A1:D1"/>
    <mergeCell ref="F1:I1"/>
    <mergeCell ref="K1:N1"/>
    <mergeCell ref="P1:S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LIMEIRA </vt:lpstr>
      <vt:lpstr>SETEMBRO</vt:lpstr>
      <vt:lpstr>OUTUBRO</vt:lpstr>
      <vt:lpstr>NOVEMBRO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Ildemar de Sousa</dc:creator>
  <cp:lastModifiedBy>Antonio Ildemar de Sousa</cp:lastModifiedBy>
  <dcterms:created xsi:type="dcterms:W3CDTF">2026-04-15T13:01:20Z</dcterms:created>
  <dcterms:modified xsi:type="dcterms:W3CDTF">2026-04-28T12:03:59Z</dcterms:modified>
</cp:coreProperties>
</file>