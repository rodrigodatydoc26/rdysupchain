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vr-ctxpfl-01\CtxProfiles\antonio.souza\Desktop\"/>
    </mc:Choice>
  </mc:AlternateContent>
  <xr:revisionPtr revIDLastSave="0" documentId="13_ncr:1_{CBC7C11E-24EE-410E-A045-FA894282477E}" xr6:coauthVersionLast="47" xr6:coauthVersionMax="47" xr10:uidLastSave="{00000000-0000-0000-0000-000000000000}"/>
  <bookViews>
    <workbookView xWindow="28680" yWindow="-195" windowWidth="29040" windowHeight="15840" activeTab="2" xr2:uid="{89FA08AA-689B-45EE-9EB9-919FF42E41FC}"/>
  </bookViews>
  <sheets>
    <sheet name="SETEMBRO" sheetId="1" r:id="rId1"/>
    <sheet name="OUTUBRO" sheetId="2" r:id="rId2"/>
    <sheet name="NOVEMBR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4" i="3" l="1"/>
  <c r="N165" i="3"/>
  <c r="N166" i="3"/>
  <c r="N163" i="3" l="1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D130" i="3"/>
  <c r="N129" i="3"/>
  <c r="D129" i="3"/>
  <c r="N128" i="3"/>
  <c r="D128" i="3"/>
  <c r="N127" i="3"/>
  <c r="D127" i="3"/>
  <c r="N126" i="3"/>
  <c r="D126" i="3"/>
  <c r="N125" i="3"/>
  <c r="D125" i="3"/>
  <c r="N124" i="3"/>
  <c r="D124" i="3"/>
  <c r="N123" i="3"/>
  <c r="D123" i="3"/>
  <c r="N122" i="3"/>
  <c r="D122" i="3"/>
  <c r="N121" i="3"/>
  <c r="D121" i="3"/>
  <c r="N120" i="3"/>
  <c r="D120" i="3"/>
  <c r="N119" i="3"/>
  <c r="D119" i="3"/>
  <c r="N118" i="3"/>
  <c r="D118" i="3"/>
  <c r="N117" i="3"/>
  <c r="D117" i="3"/>
  <c r="N116" i="3"/>
  <c r="D116" i="3"/>
  <c r="N115" i="3"/>
  <c r="D115" i="3"/>
  <c r="N114" i="3"/>
  <c r="D114" i="3"/>
  <c r="N113" i="3"/>
  <c r="D113" i="3"/>
  <c r="N112" i="3"/>
  <c r="D112" i="3"/>
  <c r="N111" i="3"/>
  <c r="D111" i="3"/>
  <c r="N110" i="3"/>
  <c r="D110" i="3"/>
  <c r="N109" i="3"/>
  <c r="D109" i="3"/>
  <c r="N108" i="3"/>
  <c r="D108" i="3"/>
  <c r="N107" i="3"/>
  <c r="D107" i="3"/>
  <c r="N106" i="3"/>
  <c r="I106" i="3"/>
  <c r="D106" i="3"/>
  <c r="N105" i="3"/>
  <c r="I105" i="3"/>
  <c r="D105" i="3"/>
  <c r="N104" i="3"/>
  <c r="I104" i="3"/>
  <c r="D104" i="3"/>
  <c r="N103" i="3"/>
  <c r="I103" i="3"/>
  <c r="D103" i="3"/>
  <c r="N102" i="3"/>
  <c r="I102" i="3"/>
  <c r="D102" i="3"/>
  <c r="N101" i="3"/>
  <c r="I101" i="3"/>
  <c r="D101" i="3"/>
  <c r="N100" i="3"/>
  <c r="I100" i="3"/>
  <c r="D100" i="3"/>
  <c r="N99" i="3"/>
  <c r="I99" i="3"/>
  <c r="D99" i="3"/>
  <c r="N98" i="3"/>
  <c r="I98" i="3"/>
  <c r="D98" i="3"/>
  <c r="N97" i="3"/>
  <c r="I97" i="3"/>
  <c r="D97" i="3"/>
  <c r="N96" i="3"/>
  <c r="I96" i="3"/>
  <c r="D96" i="3"/>
  <c r="N95" i="3"/>
  <c r="I95" i="3"/>
  <c r="D95" i="3"/>
  <c r="N94" i="3"/>
  <c r="I94" i="3"/>
  <c r="D94" i="3"/>
  <c r="N93" i="3"/>
  <c r="I93" i="3"/>
  <c r="D93" i="3"/>
  <c r="N92" i="3"/>
  <c r="I92" i="3"/>
  <c r="D92" i="3"/>
  <c r="N91" i="3"/>
  <c r="I91" i="3"/>
  <c r="D91" i="3"/>
  <c r="N90" i="3"/>
  <c r="I90" i="3"/>
  <c r="D90" i="3"/>
  <c r="N89" i="3"/>
  <c r="I89" i="3"/>
  <c r="D89" i="3"/>
  <c r="N88" i="3"/>
  <c r="I88" i="3"/>
  <c r="D88" i="3"/>
  <c r="N87" i="3"/>
  <c r="I87" i="3"/>
  <c r="D87" i="3"/>
  <c r="N86" i="3"/>
  <c r="I86" i="3"/>
  <c r="D86" i="3"/>
  <c r="N85" i="3"/>
  <c r="I85" i="3"/>
  <c r="D85" i="3"/>
  <c r="N84" i="3"/>
  <c r="I84" i="3"/>
  <c r="D84" i="3"/>
  <c r="N83" i="3"/>
  <c r="I83" i="3"/>
  <c r="D83" i="3"/>
  <c r="N82" i="3"/>
  <c r="I82" i="3"/>
  <c r="D82" i="3"/>
  <c r="N81" i="3"/>
  <c r="I81" i="3"/>
  <c r="D81" i="3"/>
  <c r="N80" i="3"/>
  <c r="I80" i="3"/>
  <c r="D80" i="3"/>
  <c r="N79" i="3"/>
  <c r="I79" i="3"/>
  <c r="D79" i="3"/>
  <c r="N78" i="3"/>
  <c r="I78" i="3"/>
  <c r="D78" i="3"/>
  <c r="N77" i="3"/>
  <c r="I77" i="3"/>
  <c r="D77" i="3"/>
  <c r="N76" i="3"/>
  <c r="I76" i="3"/>
  <c r="D76" i="3"/>
  <c r="N75" i="3"/>
  <c r="I75" i="3"/>
  <c r="D75" i="3"/>
  <c r="N74" i="3"/>
  <c r="I74" i="3"/>
  <c r="D74" i="3"/>
  <c r="N73" i="3"/>
  <c r="I73" i="3"/>
  <c r="D73" i="3"/>
  <c r="N72" i="3"/>
  <c r="I72" i="3"/>
  <c r="D72" i="3"/>
  <c r="N71" i="3"/>
  <c r="I71" i="3"/>
  <c r="D71" i="3"/>
  <c r="N70" i="3"/>
  <c r="I70" i="3"/>
  <c r="D70" i="3"/>
  <c r="N69" i="3"/>
  <c r="I69" i="3"/>
  <c r="D69" i="3"/>
  <c r="N68" i="3"/>
  <c r="I68" i="3"/>
  <c r="D68" i="3"/>
  <c r="N67" i="3"/>
  <c r="I67" i="3"/>
  <c r="D67" i="3"/>
  <c r="N66" i="3"/>
  <c r="I66" i="3"/>
  <c r="D66" i="3"/>
  <c r="N65" i="3"/>
  <c r="I65" i="3"/>
  <c r="D65" i="3"/>
  <c r="N64" i="3"/>
  <c r="I64" i="3"/>
  <c r="D64" i="3"/>
  <c r="N63" i="3"/>
  <c r="I63" i="3"/>
  <c r="D63" i="3"/>
  <c r="N62" i="3"/>
  <c r="I62" i="3"/>
  <c r="D62" i="3"/>
  <c r="N61" i="3"/>
  <c r="I61" i="3"/>
  <c r="D61" i="3"/>
  <c r="N60" i="3"/>
  <c r="I60" i="3"/>
  <c r="D60" i="3"/>
  <c r="N59" i="3"/>
  <c r="I59" i="3"/>
  <c r="D59" i="3"/>
  <c r="N58" i="3"/>
  <c r="I58" i="3"/>
  <c r="D58" i="3"/>
  <c r="N57" i="3"/>
  <c r="I57" i="3"/>
  <c r="D57" i="3"/>
  <c r="N56" i="3"/>
  <c r="I56" i="3"/>
  <c r="D56" i="3"/>
  <c r="N55" i="3"/>
  <c r="I55" i="3"/>
  <c r="D55" i="3"/>
  <c r="N54" i="3"/>
  <c r="I54" i="3"/>
  <c r="D54" i="3"/>
  <c r="N53" i="3"/>
  <c r="I53" i="3"/>
  <c r="D53" i="3"/>
  <c r="N52" i="3"/>
  <c r="I52" i="3"/>
  <c r="D52" i="3"/>
  <c r="N51" i="3"/>
  <c r="I51" i="3"/>
  <c r="D51" i="3"/>
  <c r="N50" i="3"/>
  <c r="I50" i="3"/>
  <c r="D50" i="3"/>
  <c r="N49" i="3"/>
  <c r="I49" i="3"/>
  <c r="D49" i="3"/>
  <c r="N48" i="3"/>
  <c r="I48" i="3"/>
  <c r="D48" i="3"/>
  <c r="N47" i="3"/>
  <c r="I47" i="3"/>
  <c r="D47" i="3"/>
  <c r="N46" i="3"/>
  <c r="I46" i="3"/>
  <c r="D46" i="3"/>
  <c r="N45" i="3"/>
  <c r="I45" i="3"/>
  <c r="D45" i="3"/>
  <c r="N44" i="3"/>
  <c r="I44" i="3"/>
  <c r="D44" i="3"/>
  <c r="N43" i="3"/>
  <c r="I43" i="3"/>
  <c r="D43" i="3"/>
  <c r="N42" i="3"/>
  <c r="I42" i="3"/>
  <c r="D42" i="3"/>
  <c r="N41" i="3"/>
  <c r="I41" i="3"/>
  <c r="D41" i="3"/>
  <c r="N40" i="3"/>
  <c r="I40" i="3"/>
  <c r="D40" i="3"/>
  <c r="N39" i="3"/>
  <c r="I39" i="3"/>
  <c r="D39" i="3"/>
  <c r="N38" i="3"/>
  <c r="I38" i="3"/>
  <c r="D38" i="3"/>
  <c r="N37" i="3"/>
  <c r="I37" i="3"/>
  <c r="D37" i="3"/>
  <c r="N36" i="3"/>
  <c r="I36" i="3"/>
  <c r="D36" i="3"/>
  <c r="N35" i="3"/>
  <c r="I35" i="3"/>
  <c r="D35" i="3"/>
  <c r="N34" i="3"/>
  <c r="I34" i="3"/>
  <c r="D34" i="3"/>
  <c r="N33" i="3"/>
  <c r="I33" i="3"/>
  <c r="D33" i="3"/>
  <c r="N32" i="3"/>
  <c r="I32" i="3"/>
  <c r="D32" i="3"/>
  <c r="N31" i="3"/>
  <c r="I31" i="3"/>
  <c r="D31" i="3"/>
  <c r="N30" i="3"/>
  <c r="I30" i="3"/>
  <c r="D30" i="3"/>
  <c r="N29" i="3"/>
  <c r="I29" i="3"/>
  <c r="D29" i="3"/>
  <c r="N28" i="3"/>
  <c r="I28" i="3"/>
  <c r="D28" i="3"/>
  <c r="N27" i="3"/>
  <c r="I27" i="3"/>
  <c r="D27" i="3"/>
  <c r="N26" i="3"/>
  <c r="I26" i="3"/>
  <c r="D26" i="3"/>
  <c r="N25" i="3"/>
  <c r="I25" i="3"/>
  <c r="D25" i="3"/>
  <c r="N24" i="3"/>
  <c r="I24" i="3"/>
  <c r="D24" i="3"/>
  <c r="N23" i="3"/>
  <c r="I23" i="3"/>
  <c r="D23" i="3"/>
  <c r="N22" i="3"/>
  <c r="I22" i="3"/>
  <c r="D22" i="3"/>
  <c r="N21" i="3"/>
  <c r="I21" i="3"/>
  <c r="D21" i="3"/>
  <c r="N20" i="3"/>
  <c r="I20" i="3"/>
  <c r="D20" i="3"/>
  <c r="N19" i="3"/>
  <c r="I19" i="3"/>
  <c r="D19" i="3"/>
  <c r="N18" i="3"/>
  <c r="I18" i="3"/>
  <c r="D18" i="3"/>
  <c r="N17" i="3"/>
  <c r="I17" i="3"/>
  <c r="D17" i="3"/>
  <c r="N16" i="3"/>
  <c r="I16" i="3"/>
  <c r="D16" i="3"/>
  <c r="N15" i="3"/>
  <c r="I15" i="3"/>
  <c r="D15" i="3"/>
  <c r="N14" i="3"/>
  <c r="I14" i="3"/>
  <c r="D14" i="3"/>
  <c r="N13" i="3"/>
  <c r="I13" i="3"/>
  <c r="D13" i="3"/>
  <c r="N12" i="3"/>
  <c r="I12" i="3"/>
  <c r="D12" i="3"/>
  <c r="N11" i="3"/>
  <c r="I11" i="3"/>
  <c r="D11" i="3"/>
  <c r="N10" i="3"/>
  <c r="I10" i="3"/>
  <c r="D10" i="3"/>
  <c r="N9" i="3"/>
  <c r="I9" i="3"/>
  <c r="D9" i="3"/>
  <c r="N8" i="3"/>
  <c r="I8" i="3"/>
  <c r="D8" i="3"/>
  <c r="N7" i="3"/>
  <c r="I7" i="3"/>
  <c r="D7" i="3"/>
  <c r="N6" i="3"/>
  <c r="I6" i="3"/>
  <c r="D6" i="3"/>
  <c r="N5" i="3"/>
  <c r="I5" i="3"/>
  <c r="D5" i="3"/>
  <c r="N4" i="3"/>
  <c r="I4" i="3"/>
  <c r="D4" i="3"/>
  <c r="N3" i="3"/>
  <c r="I3" i="3"/>
  <c r="D3" i="3"/>
  <c r="D133" i="2"/>
  <c r="D132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D131" i="2"/>
  <c r="N130" i="2"/>
  <c r="D130" i="2"/>
  <c r="N129" i="2"/>
  <c r="D129" i="2"/>
  <c r="N128" i="2"/>
  <c r="D128" i="2"/>
  <c r="N127" i="2"/>
  <c r="D127" i="2"/>
  <c r="N126" i="2"/>
  <c r="D126" i="2"/>
  <c r="N125" i="2"/>
  <c r="D125" i="2"/>
  <c r="N124" i="2"/>
  <c r="D124" i="2"/>
  <c r="N123" i="2"/>
  <c r="D123" i="2"/>
  <c r="N122" i="2"/>
  <c r="D122" i="2"/>
  <c r="N121" i="2"/>
  <c r="D121" i="2"/>
  <c r="N120" i="2"/>
  <c r="D120" i="2"/>
  <c r="N119" i="2"/>
  <c r="D119" i="2"/>
  <c r="N118" i="2"/>
  <c r="D118" i="2"/>
  <c r="N117" i="2"/>
  <c r="D117" i="2"/>
  <c r="N116" i="2"/>
  <c r="D116" i="2"/>
  <c r="N115" i="2"/>
  <c r="D115" i="2"/>
  <c r="N114" i="2"/>
  <c r="D114" i="2"/>
  <c r="N113" i="2"/>
  <c r="D113" i="2"/>
  <c r="N112" i="2"/>
  <c r="D112" i="2"/>
  <c r="N111" i="2"/>
  <c r="D111" i="2"/>
  <c r="N110" i="2"/>
  <c r="D110" i="2"/>
  <c r="N109" i="2"/>
  <c r="D109" i="2"/>
  <c r="N108" i="2"/>
  <c r="D108" i="2"/>
  <c r="N107" i="2"/>
  <c r="D107" i="2"/>
  <c r="N106" i="2"/>
  <c r="I106" i="2"/>
  <c r="D106" i="2"/>
  <c r="N105" i="2"/>
  <c r="I105" i="2"/>
  <c r="D105" i="2"/>
  <c r="N104" i="2"/>
  <c r="I104" i="2"/>
  <c r="D104" i="2"/>
  <c r="N103" i="2"/>
  <c r="I103" i="2"/>
  <c r="D103" i="2"/>
  <c r="N102" i="2"/>
  <c r="I102" i="2"/>
  <c r="D102" i="2"/>
  <c r="N101" i="2"/>
  <c r="I101" i="2"/>
  <c r="D101" i="2"/>
  <c r="N100" i="2"/>
  <c r="I100" i="2"/>
  <c r="D100" i="2"/>
  <c r="N99" i="2"/>
  <c r="I99" i="2"/>
  <c r="D99" i="2"/>
  <c r="N98" i="2"/>
  <c r="I98" i="2"/>
  <c r="D98" i="2"/>
  <c r="N97" i="2"/>
  <c r="I97" i="2"/>
  <c r="D97" i="2"/>
  <c r="N96" i="2"/>
  <c r="I96" i="2"/>
  <c r="D96" i="2"/>
  <c r="N95" i="2"/>
  <c r="I95" i="2"/>
  <c r="D95" i="2"/>
  <c r="N94" i="2"/>
  <c r="I94" i="2"/>
  <c r="D94" i="2"/>
  <c r="N93" i="2"/>
  <c r="I93" i="2"/>
  <c r="D93" i="2"/>
  <c r="N92" i="2"/>
  <c r="I92" i="2"/>
  <c r="D92" i="2"/>
  <c r="N91" i="2"/>
  <c r="I91" i="2"/>
  <c r="D91" i="2"/>
  <c r="N90" i="2"/>
  <c r="I90" i="2"/>
  <c r="D90" i="2"/>
  <c r="N89" i="2"/>
  <c r="I89" i="2"/>
  <c r="D89" i="2"/>
  <c r="N88" i="2"/>
  <c r="I88" i="2"/>
  <c r="D88" i="2"/>
  <c r="N87" i="2"/>
  <c r="I87" i="2"/>
  <c r="D87" i="2"/>
  <c r="N86" i="2"/>
  <c r="I86" i="2"/>
  <c r="D86" i="2"/>
  <c r="N85" i="2"/>
  <c r="I85" i="2"/>
  <c r="D85" i="2"/>
  <c r="N84" i="2"/>
  <c r="I84" i="2"/>
  <c r="D84" i="2"/>
  <c r="N83" i="2"/>
  <c r="I83" i="2"/>
  <c r="D83" i="2"/>
  <c r="N82" i="2"/>
  <c r="I82" i="2"/>
  <c r="D82" i="2"/>
  <c r="N81" i="2"/>
  <c r="I81" i="2"/>
  <c r="D81" i="2"/>
  <c r="N80" i="2"/>
  <c r="I80" i="2"/>
  <c r="D80" i="2"/>
  <c r="N79" i="2"/>
  <c r="I79" i="2"/>
  <c r="D79" i="2"/>
  <c r="N78" i="2"/>
  <c r="I78" i="2"/>
  <c r="D78" i="2"/>
  <c r="N77" i="2"/>
  <c r="I77" i="2"/>
  <c r="D77" i="2"/>
  <c r="N76" i="2"/>
  <c r="I76" i="2"/>
  <c r="D76" i="2"/>
  <c r="N75" i="2"/>
  <c r="I75" i="2"/>
  <c r="D75" i="2"/>
  <c r="N74" i="2"/>
  <c r="I74" i="2"/>
  <c r="D74" i="2"/>
  <c r="N73" i="2"/>
  <c r="I73" i="2"/>
  <c r="D73" i="2"/>
  <c r="N72" i="2"/>
  <c r="I72" i="2"/>
  <c r="D72" i="2"/>
  <c r="N71" i="2"/>
  <c r="I71" i="2"/>
  <c r="D71" i="2"/>
  <c r="N70" i="2"/>
  <c r="I70" i="2"/>
  <c r="D70" i="2"/>
  <c r="N69" i="2"/>
  <c r="I69" i="2"/>
  <c r="D69" i="2"/>
  <c r="N68" i="2"/>
  <c r="I68" i="2"/>
  <c r="D68" i="2"/>
  <c r="N67" i="2"/>
  <c r="I67" i="2"/>
  <c r="D67" i="2"/>
  <c r="N66" i="2"/>
  <c r="I66" i="2"/>
  <c r="D66" i="2"/>
  <c r="N65" i="2"/>
  <c r="I65" i="2"/>
  <c r="D65" i="2"/>
  <c r="N64" i="2"/>
  <c r="I64" i="2"/>
  <c r="D64" i="2"/>
  <c r="N63" i="2"/>
  <c r="I63" i="2"/>
  <c r="D63" i="2"/>
  <c r="N62" i="2"/>
  <c r="I62" i="2"/>
  <c r="D62" i="2"/>
  <c r="N61" i="2"/>
  <c r="I61" i="2"/>
  <c r="D61" i="2"/>
  <c r="N60" i="2"/>
  <c r="I60" i="2"/>
  <c r="D60" i="2"/>
  <c r="N59" i="2"/>
  <c r="I59" i="2"/>
  <c r="D59" i="2"/>
  <c r="N58" i="2"/>
  <c r="I58" i="2"/>
  <c r="D58" i="2"/>
  <c r="N57" i="2"/>
  <c r="I57" i="2"/>
  <c r="D57" i="2"/>
  <c r="N56" i="2"/>
  <c r="I56" i="2"/>
  <c r="D56" i="2"/>
  <c r="N55" i="2"/>
  <c r="I55" i="2"/>
  <c r="D55" i="2"/>
  <c r="N54" i="2"/>
  <c r="I54" i="2"/>
  <c r="D54" i="2"/>
  <c r="N53" i="2"/>
  <c r="I53" i="2"/>
  <c r="D53" i="2"/>
  <c r="N52" i="2"/>
  <c r="I52" i="2"/>
  <c r="D52" i="2"/>
  <c r="N51" i="2"/>
  <c r="I51" i="2"/>
  <c r="D51" i="2"/>
  <c r="N50" i="2"/>
  <c r="I50" i="2"/>
  <c r="D50" i="2"/>
  <c r="N49" i="2"/>
  <c r="I49" i="2"/>
  <c r="D49" i="2"/>
  <c r="N48" i="2"/>
  <c r="I48" i="2"/>
  <c r="D48" i="2"/>
  <c r="N47" i="2"/>
  <c r="I47" i="2"/>
  <c r="D47" i="2"/>
  <c r="N46" i="2"/>
  <c r="I46" i="2"/>
  <c r="D46" i="2"/>
  <c r="N45" i="2"/>
  <c r="I45" i="2"/>
  <c r="D45" i="2"/>
  <c r="N44" i="2"/>
  <c r="I44" i="2"/>
  <c r="D44" i="2"/>
  <c r="N43" i="2"/>
  <c r="I43" i="2"/>
  <c r="D43" i="2"/>
  <c r="N42" i="2"/>
  <c r="I42" i="2"/>
  <c r="D42" i="2"/>
  <c r="N41" i="2"/>
  <c r="I41" i="2"/>
  <c r="D41" i="2"/>
  <c r="N40" i="2"/>
  <c r="I40" i="2"/>
  <c r="D40" i="2"/>
  <c r="N39" i="2"/>
  <c r="I39" i="2"/>
  <c r="D39" i="2"/>
  <c r="N38" i="2"/>
  <c r="I38" i="2"/>
  <c r="D38" i="2"/>
  <c r="N37" i="2"/>
  <c r="I37" i="2"/>
  <c r="D37" i="2"/>
  <c r="N36" i="2"/>
  <c r="I36" i="2"/>
  <c r="D36" i="2"/>
  <c r="N35" i="2"/>
  <c r="I35" i="2"/>
  <c r="D35" i="2"/>
  <c r="N34" i="2"/>
  <c r="I34" i="2"/>
  <c r="D34" i="2"/>
  <c r="N33" i="2"/>
  <c r="I33" i="2"/>
  <c r="D33" i="2"/>
  <c r="N32" i="2"/>
  <c r="I32" i="2"/>
  <c r="D32" i="2"/>
  <c r="N31" i="2"/>
  <c r="I31" i="2"/>
  <c r="D31" i="2"/>
  <c r="N30" i="2"/>
  <c r="I30" i="2"/>
  <c r="D30" i="2"/>
  <c r="N29" i="2"/>
  <c r="I29" i="2"/>
  <c r="D29" i="2"/>
  <c r="N28" i="2"/>
  <c r="I28" i="2"/>
  <c r="D28" i="2"/>
  <c r="N27" i="2"/>
  <c r="I27" i="2"/>
  <c r="D27" i="2"/>
  <c r="N26" i="2"/>
  <c r="I26" i="2"/>
  <c r="D26" i="2"/>
  <c r="N25" i="2"/>
  <c r="I25" i="2"/>
  <c r="D25" i="2"/>
  <c r="N24" i="2"/>
  <c r="I24" i="2"/>
  <c r="D24" i="2"/>
  <c r="N23" i="2"/>
  <c r="I23" i="2"/>
  <c r="D23" i="2"/>
  <c r="N22" i="2"/>
  <c r="I22" i="2"/>
  <c r="D22" i="2"/>
  <c r="N21" i="2"/>
  <c r="I21" i="2"/>
  <c r="D21" i="2"/>
  <c r="N20" i="2"/>
  <c r="I20" i="2"/>
  <c r="D20" i="2"/>
  <c r="N19" i="2"/>
  <c r="I19" i="2"/>
  <c r="D19" i="2"/>
  <c r="N18" i="2"/>
  <c r="I18" i="2"/>
  <c r="D18" i="2"/>
  <c r="N17" i="2"/>
  <c r="I17" i="2"/>
  <c r="D17" i="2"/>
  <c r="N16" i="2"/>
  <c r="I16" i="2"/>
  <c r="D16" i="2"/>
  <c r="N15" i="2"/>
  <c r="I15" i="2"/>
  <c r="D15" i="2"/>
  <c r="N14" i="2"/>
  <c r="I14" i="2"/>
  <c r="D14" i="2"/>
  <c r="N13" i="2"/>
  <c r="I13" i="2"/>
  <c r="D13" i="2"/>
  <c r="N12" i="2"/>
  <c r="I12" i="2"/>
  <c r="D12" i="2"/>
  <c r="N11" i="2"/>
  <c r="I11" i="2"/>
  <c r="D11" i="2"/>
  <c r="N10" i="2"/>
  <c r="I10" i="2"/>
  <c r="D10" i="2"/>
  <c r="N9" i="2"/>
  <c r="I9" i="2"/>
  <c r="D9" i="2"/>
  <c r="N8" i="2"/>
  <c r="I8" i="2"/>
  <c r="D8" i="2"/>
  <c r="N7" i="2"/>
  <c r="I7" i="2"/>
  <c r="D7" i="2"/>
  <c r="N6" i="2"/>
  <c r="I6" i="2"/>
  <c r="D6" i="2"/>
  <c r="N5" i="2"/>
  <c r="I5" i="2"/>
  <c r="D5" i="2"/>
  <c r="N4" i="2"/>
  <c r="I4" i="2"/>
  <c r="D4" i="2"/>
  <c r="N3" i="2"/>
  <c r="I3" i="2"/>
  <c r="D3" i="2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D129" i="1"/>
  <c r="D130" i="1"/>
  <c r="D131" i="1"/>
  <c r="D128" i="1" l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I106" i="1"/>
  <c r="D106" i="1"/>
  <c r="I105" i="1"/>
  <c r="D105" i="1"/>
  <c r="I104" i="1"/>
  <c r="D104" i="1"/>
  <c r="I103" i="1"/>
  <c r="D103" i="1"/>
  <c r="I102" i="1"/>
  <c r="D102" i="1"/>
  <c r="I101" i="1"/>
  <c r="D101" i="1"/>
  <c r="I100" i="1"/>
  <c r="D100" i="1"/>
  <c r="I99" i="1"/>
  <c r="D99" i="1"/>
  <c r="I98" i="1"/>
  <c r="D98" i="1"/>
  <c r="I97" i="1"/>
  <c r="D97" i="1"/>
  <c r="I96" i="1"/>
  <c r="D96" i="1"/>
  <c r="I95" i="1"/>
  <c r="D95" i="1"/>
  <c r="I94" i="1"/>
  <c r="D94" i="1"/>
  <c r="I93" i="1"/>
  <c r="D93" i="1"/>
  <c r="I92" i="1"/>
  <c r="D92" i="1"/>
  <c r="I91" i="1"/>
  <c r="D91" i="1"/>
  <c r="I90" i="1"/>
  <c r="D90" i="1"/>
  <c r="I89" i="1"/>
  <c r="D89" i="1"/>
  <c r="I88" i="1"/>
  <c r="D88" i="1"/>
  <c r="I87" i="1"/>
  <c r="D87" i="1"/>
  <c r="I86" i="1"/>
  <c r="D86" i="1"/>
  <c r="I85" i="1"/>
  <c r="D85" i="1"/>
  <c r="I84" i="1"/>
  <c r="D84" i="1"/>
  <c r="I83" i="1"/>
  <c r="D83" i="1"/>
  <c r="I82" i="1"/>
  <c r="D82" i="1"/>
  <c r="I81" i="1"/>
  <c r="D81" i="1"/>
  <c r="I80" i="1"/>
  <c r="D80" i="1"/>
  <c r="I79" i="1"/>
  <c r="D79" i="1"/>
  <c r="I78" i="1"/>
  <c r="D78" i="1"/>
  <c r="I77" i="1"/>
  <c r="D77" i="1"/>
  <c r="I76" i="1"/>
  <c r="D76" i="1"/>
  <c r="I75" i="1"/>
  <c r="D75" i="1"/>
  <c r="I74" i="1"/>
  <c r="D74" i="1"/>
  <c r="I73" i="1"/>
  <c r="D73" i="1"/>
  <c r="I72" i="1"/>
  <c r="D72" i="1"/>
  <c r="I71" i="1"/>
  <c r="D71" i="1"/>
  <c r="I70" i="1"/>
  <c r="D70" i="1"/>
  <c r="N69" i="1"/>
  <c r="I69" i="1"/>
  <c r="D69" i="1"/>
  <c r="N68" i="1"/>
  <c r="I68" i="1"/>
  <c r="D68" i="1"/>
  <c r="N67" i="1"/>
  <c r="I67" i="1"/>
  <c r="D67" i="1"/>
  <c r="N66" i="1"/>
  <c r="I66" i="1"/>
  <c r="D66" i="1"/>
  <c r="N65" i="1"/>
  <c r="I65" i="1"/>
  <c r="D65" i="1"/>
  <c r="N64" i="1"/>
  <c r="I64" i="1"/>
  <c r="D64" i="1"/>
  <c r="N63" i="1"/>
  <c r="I63" i="1"/>
  <c r="D63" i="1"/>
  <c r="N62" i="1"/>
  <c r="I62" i="1"/>
  <c r="D62" i="1"/>
  <c r="N61" i="1"/>
  <c r="I61" i="1"/>
  <c r="D61" i="1"/>
  <c r="N60" i="1"/>
  <c r="I60" i="1"/>
  <c r="D60" i="1"/>
  <c r="N59" i="1"/>
  <c r="I59" i="1"/>
  <c r="D59" i="1"/>
  <c r="N58" i="1"/>
  <c r="I58" i="1"/>
  <c r="D58" i="1"/>
  <c r="N57" i="1"/>
  <c r="I57" i="1"/>
  <c r="D57" i="1"/>
  <c r="N56" i="1"/>
  <c r="I56" i="1"/>
  <c r="D56" i="1"/>
  <c r="N55" i="1"/>
  <c r="I55" i="1"/>
  <c r="D55" i="1"/>
  <c r="N54" i="1"/>
  <c r="I54" i="1"/>
  <c r="D54" i="1"/>
  <c r="N53" i="1"/>
  <c r="I53" i="1"/>
  <c r="D53" i="1"/>
  <c r="N52" i="1"/>
  <c r="I52" i="1"/>
  <c r="D52" i="1"/>
  <c r="N51" i="1"/>
  <c r="I51" i="1"/>
  <c r="D51" i="1"/>
  <c r="N50" i="1"/>
  <c r="I50" i="1"/>
  <c r="D50" i="1"/>
  <c r="N49" i="1"/>
  <c r="I49" i="1"/>
  <c r="D49" i="1"/>
  <c r="N48" i="1"/>
  <c r="I48" i="1"/>
  <c r="D48" i="1"/>
  <c r="N47" i="1"/>
  <c r="I47" i="1"/>
  <c r="D47" i="1"/>
  <c r="N46" i="1"/>
  <c r="I46" i="1"/>
  <c r="D46" i="1"/>
  <c r="N45" i="1"/>
  <c r="I45" i="1"/>
  <c r="D45" i="1"/>
  <c r="N44" i="1"/>
  <c r="I44" i="1"/>
  <c r="D44" i="1"/>
  <c r="N43" i="1"/>
  <c r="I43" i="1"/>
  <c r="D43" i="1"/>
  <c r="N42" i="1"/>
  <c r="I42" i="1"/>
  <c r="D42" i="1"/>
  <c r="N41" i="1"/>
  <c r="I41" i="1"/>
  <c r="D41" i="1"/>
  <c r="N40" i="1"/>
  <c r="I40" i="1"/>
  <c r="D40" i="1"/>
  <c r="N39" i="1"/>
  <c r="I39" i="1"/>
  <c r="D39" i="1"/>
  <c r="N38" i="1"/>
  <c r="I38" i="1"/>
  <c r="D38" i="1"/>
  <c r="N37" i="1"/>
  <c r="I37" i="1"/>
  <c r="D37" i="1"/>
  <c r="N36" i="1"/>
  <c r="I36" i="1"/>
  <c r="D36" i="1"/>
  <c r="N35" i="1"/>
  <c r="I35" i="1"/>
  <c r="D35" i="1"/>
  <c r="N34" i="1"/>
  <c r="I34" i="1"/>
  <c r="D34" i="1"/>
  <c r="N33" i="1"/>
  <c r="I33" i="1"/>
  <c r="D33" i="1"/>
  <c r="N32" i="1"/>
  <c r="I32" i="1"/>
  <c r="D32" i="1"/>
  <c r="N31" i="1"/>
  <c r="I31" i="1"/>
  <c r="D31" i="1"/>
  <c r="N30" i="1"/>
  <c r="I30" i="1"/>
  <c r="D30" i="1"/>
  <c r="N29" i="1"/>
  <c r="I29" i="1"/>
  <c r="D29" i="1"/>
  <c r="N28" i="1"/>
  <c r="I28" i="1"/>
  <c r="D28" i="1"/>
  <c r="N27" i="1"/>
  <c r="I27" i="1"/>
  <c r="D27" i="1"/>
  <c r="N26" i="1"/>
  <c r="I26" i="1"/>
  <c r="D26" i="1"/>
  <c r="N25" i="1"/>
  <c r="I25" i="1"/>
  <c r="D25" i="1"/>
  <c r="N24" i="1"/>
  <c r="I24" i="1"/>
  <c r="D24" i="1"/>
  <c r="N23" i="1"/>
  <c r="I23" i="1"/>
  <c r="D23" i="1"/>
  <c r="N22" i="1"/>
  <c r="I22" i="1"/>
  <c r="D22" i="1"/>
  <c r="N21" i="1"/>
  <c r="I21" i="1"/>
  <c r="D21" i="1"/>
  <c r="N20" i="1"/>
  <c r="I20" i="1"/>
  <c r="D20" i="1"/>
  <c r="N19" i="1"/>
  <c r="I19" i="1"/>
  <c r="D19" i="1"/>
  <c r="N18" i="1"/>
  <c r="I18" i="1"/>
  <c r="D18" i="1"/>
  <c r="N17" i="1"/>
  <c r="I17" i="1"/>
  <c r="D17" i="1"/>
  <c r="N16" i="1"/>
  <c r="I16" i="1"/>
  <c r="D16" i="1"/>
  <c r="N15" i="1"/>
  <c r="I15" i="1"/>
  <c r="D15" i="1"/>
  <c r="N14" i="1"/>
  <c r="I14" i="1"/>
  <c r="D14" i="1"/>
  <c r="N13" i="1"/>
  <c r="I13" i="1"/>
  <c r="D13" i="1"/>
  <c r="N12" i="1"/>
  <c r="I12" i="1"/>
  <c r="D12" i="1"/>
  <c r="N11" i="1"/>
  <c r="I11" i="1"/>
  <c r="D11" i="1"/>
  <c r="N10" i="1"/>
  <c r="I10" i="1"/>
  <c r="D10" i="1"/>
  <c r="N9" i="1"/>
  <c r="I9" i="1"/>
  <c r="D9" i="1"/>
  <c r="N8" i="1"/>
  <c r="I8" i="1"/>
  <c r="D8" i="1"/>
  <c r="N7" i="1"/>
  <c r="I7" i="1"/>
  <c r="D7" i="1"/>
  <c r="N6" i="1"/>
  <c r="I6" i="1"/>
  <c r="D6" i="1"/>
  <c r="N5" i="1"/>
  <c r="I5" i="1"/>
  <c r="D5" i="1"/>
  <c r="N4" i="1"/>
  <c r="I4" i="1"/>
  <c r="D4" i="1"/>
  <c r="N3" i="1"/>
  <c r="I3" i="1"/>
  <c r="D3" i="1"/>
</calcChain>
</file>

<file path=xl/sharedStrings.xml><?xml version="1.0" encoding="utf-8"?>
<sst xmlns="http://schemas.openxmlformats.org/spreadsheetml/2006/main" count="2395" uniqueCount="788">
  <si>
    <t>ADM</t>
  </si>
  <si>
    <t>SAUDE</t>
  </si>
  <si>
    <t>Produção</t>
  </si>
  <si>
    <t xml:space="preserve">Resmas </t>
  </si>
  <si>
    <t>RH</t>
  </si>
  <si>
    <t>CAPS II</t>
  </si>
  <si>
    <t>PM INDAIATUBA - DERIN</t>
  </si>
  <si>
    <t>AK9A024778</t>
  </si>
  <si>
    <t>GCM - GETRAN</t>
  </si>
  <si>
    <t>AK9A024741</t>
  </si>
  <si>
    <t>GCM - RECEPÇÃO</t>
  </si>
  <si>
    <t>AK9A024746</t>
  </si>
  <si>
    <t>DEPIN - DESENVOLVIMENTO</t>
  </si>
  <si>
    <t>AK9A024722</t>
  </si>
  <si>
    <t>PMI-FUNSSOL</t>
  </si>
  <si>
    <t>AK9A024717</t>
  </si>
  <si>
    <t>PM INDAIATUBA - ATENDIMENTO AO PUBLICO</t>
  </si>
  <si>
    <t>AK9A024843</t>
  </si>
  <si>
    <t>SEMURB - COMPRAS</t>
  </si>
  <si>
    <t>AK9A017950</t>
  </si>
  <si>
    <t>JURIDICO FUNDOS</t>
  </si>
  <si>
    <t>AK9B023724</t>
  </si>
  <si>
    <t>PMI-PATRIMONIO</t>
  </si>
  <si>
    <t>AK9A017966</t>
  </si>
  <si>
    <t>PM INDAIATUBA - TESOURARIA</t>
  </si>
  <si>
    <t>AK9A017968</t>
  </si>
  <si>
    <t>JURIDICOS - PROCESSOS</t>
  </si>
  <si>
    <t>AK9C009277</t>
  </si>
  <si>
    <t>PM INDAIATUBA - DEREM</t>
  </si>
  <si>
    <t>AK9A024743</t>
  </si>
  <si>
    <t>PM INDAIATUBA - ENG_MONO</t>
  </si>
  <si>
    <t>AK9A017744</t>
  </si>
  <si>
    <t>PM INDAIATUBA - SEC. GOVERNO</t>
  </si>
  <si>
    <t>AK9A018133</t>
  </si>
  <si>
    <t>PM INDAIATUBA - ADM CENTRO PCD</t>
  </si>
  <si>
    <t>AK9C009272</t>
  </si>
  <si>
    <t>PMI-FAZATEND02</t>
  </si>
  <si>
    <t>AK9A024747</t>
  </si>
  <si>
    <t>2º CONSELHO TUTELAR</t>
  </si>
  <si>
    <t>AK9A018055</t>
  </si>
  <si>
    <t>CRAS III</t>
  </si>
  <si>
    <t>BW02010565</t>
  </si>
  <si>
    <t xml:space="preserve">CRAS I </t>
  </si>
  <si>
    <t>AK9C009275</t>
  </si>
  <si>
    <t>CRESANS</t>
  </si>
  <si>
    <t>AK9A017974</t>
  </si>
  <si>
    <t>PAT - RECEPÇÃO</t>
  </si>
  <si>
    <t>AK9B023692</t>
  </si>
  <si>
    <t>PAT - BANCO DO POVO</t>
  </si>
  <si>
    <t>AK9A024835</t>
  </si>
  <si>
    <t>PMI-CRASII</t>
  </si>
  <si>
    <t>AK9A017892</t>
  </si>
  <si>
    <t>CREAS - RECEPÇÃO</t>
  </si>
  <si>
    <t>AK9A024818</t>
  </si>
  <si>
    <t>PAT - ATENDIMENTO</t>
  </si>
  <si>
    <t>AK9A017890</t>
  </si>
  <si>
    <t>PAT - FISCALIZAÇÃO</t>
  </si>
  <si>
    <t>AK9C009278</t>
  </si>
  <si>
    <t>RODOVIÁRIA</t>
  </si>
  <si>
    <t>AK9B023757</t>
  </si>
  <si>
    <t xml:space="preserve">SEGURANCA PUBLICA </t>
  </si>
  <si>
    <t>AK9B023750</t>
  </si>
  <si>
    <t>PAT - CAPTAÇÃO DE VAGAS</t>
  </si>
  <si>
    <t>AK9B023752</t>
  </si>
  <si>
    <t>PMI-JARI-PCIDADAO</t>
  </si>
  <si>
    <t>AK9B023808</t>
  </si>
  <si>
    <t>SEMURB - OFICINA</t>
  </si>
  <si>
    <t>AK9A018130</t>
  </si>
  <si>
    <t>ADM-CULT-VIBER</t>
  </si>
  <si>
    <t>AK9A017961</t>
  </si>
  <si>
    <t>PMI-PROMEMO4172</t>
  </si>
  <si>
    <t>AK9A024720</t>
  </si>
  <si>
    <t>PMI-PQCRIANCA</t>
  </si>
  <si>
    <t>AK9A017750</t>
  </si>
  <si>
    <t>SEMOP</t>
  </si>
  <si>
    <t>AK9A024786</t>
  </si>
  <si>
    <t>PMI-PAASI</t>
  </si>
  <si>
    <t>AK9A018120</t>
  </si>
  <si>
    <t>CRAS V</t>
  </si>
  <si>
    <t>AK9A024820</t>
  </si>
  <si>
    <t>TRANSPORTE COLETIVO</t>
  </si>
  <si>
    <t>AK9A024813</t>
  </si>
  <si>
    <t>POLICIA MILITAR</t>
  </si>
  <si>
    <t>AK9A024783</t>
  </si>
  <si>
    <t>ADM-GCM-GETRAN</t>
  </si>
  <si>
    <t>AK9A017893</t>
  </si>
  <si>
    <t>SEC. ESPORTES</t>
  </si>
  <si>
    <t>AK9A018083</t>
  </si>
  <si>
    <t>VELODROMO - ADM</t>
  </si>
  <si>
    <t>AK9C009276</t>
  </si>
  <si>
    <t>CASA DOS CONSELHOS</t>
  </si>
  <si>
    <t>AK9B023753</t>
  </si>
  <si>
    <t>PMI-JUNTA MILITAR</t>
  </si>
  <si>
    <t>AK9B023691</t>
  </si>
  <si>
    <t>CRAS IV</t>
  </si>
  <si>
    <t>AK9A017867</t>
  </si>
  <si>
    <t>PM INDAIATUBA - RH RECEPÇÃO</t>
  </si>
  <si>
    <t>BW02010456</t>
  </si>
  <si>
    <t>PONTO CIDADÃO</t>
  </si>
  <si>
    <t>AK9A024780</t>
  </si>
  <si>
    <t>COI - TECNOLOGIA</t>
  </si>
  <si>
    <t>AK9A024830</t>
  </si>
  <si>
    <t>PONTO CIDADÃO - SEC. FAZENDA</t>
  </si>
  <si>
    <t>AK9A024844</t>
  </si>
  <si>
    <t>PMI-CMDCA</t>
  </si>
  <si>
    <t>AK9A017891</t>
  </si>
  <si>
    <t>PMI-SECCULT-PB</t>
  </si>
  <si>
    <t>AK9A024748</t>
  </si>
  <si>
    <t>CRAS 3</t>
  </si>
  <si>
    <t>AK9A024815</t>
  </si>
  <si>
    <t>CRAS 4</t>
  </si>
  <si>
    <t>AK9A024765</t>
  </si>
  <si>
    <t>ADM-CRASVI</t>
  </si>
  <si>
    <t>AK9A024801</t>
  </si>
  <si>
    <t>SALA DE LICITAÇÕES</t>
  </si>
  <si>
    <t>AK9A024819</t>
  </si>
  <si>
    <t>SITE – GABINETE DO VICE PREFEITO</t>
  </si>
  <si>
    <t>AK87035809</t>
  </si>
  <si>
    <t>DIVIDA ATIVA</t>
  </si>
  <si>
    <t>BW02010471</t>
  </si>
  <si>
    <t>Backup</t>
  </si>
  <si>
    <t>AK9A018052</t>
  </si>
  <si>
    <t xml:space="preserve">PM INDAIATUBA-ADM-SEBRAE </t>
  </si>
  <si>
    <t>AK9A024799</t>
  </si>
  <si>
    <t xml:space="preserve">PM INDAIATUBA-ADM- CORREGEDORIA  </t>
  </si>
  <si>
    <t>AK9A024792</t>
  </si>
  <si>
    <t xml:space="preserve">PM INDAIATUBA-ADM-CRAS VI CAMPO BONITO </t>
  </si>
  <si>
    <t>AK87035881</t>
  </si>
  <si>
    <t>PM INDAIATUBA-ADM-CASA DOS COELHOS-PISO SUPERIOR</t>
  </si>
  <si>
    <t>AK87025962</t>
  </si>
  <si>
    <t>PMI-ZOONOSES</t>
  </si>
  <si>
    <t>AK88003908</t>
  </si>
  <si>
    <t>VELODROMO - ADI</t>
  </si>
  <si>
    <t>AK9A017742</t>
  </si>
  <si>
    <t>PM INDAIATUBA-ADM-CREAS-COLETIVO</t>
  </si>
  <si>
    <t>BW02010570</t>
  </si>
  <si>
    <t>PM INDAIATUBA - ADM - PONTO CIDADAO JUNT</t>
  </si>
  <si>
    <t>AK87035915</t>
  </si>
  <si>
    <t>TRANSP. COLETIVO</t>
  </si>
  <si>
    <t>AK98005030</t>
  </si>
  <si>
    <t>AK98005038</t>
  </si>
  <si>
    <t>ADM-CEM.CENTRAL</t>
  </si>
  <si>
    <t>AK5C049062</t>
  </si>
  <si>
    <t xml:space="preserve">ADM SALA DE LICITAÇÕES </t>
  </si>
  <si>
    <t>BW07004279C0</t>
  </si>
  <si>
    <t>PM INDAIATUBA-ADM-DEREM</t>
  </si>
  <si>
    <t>AK89000184</t>
  </si>
  <si>
    <t>PMI-TESOURARIA-COLOR</t>
  </si>
  <si>
    <t>AK88064241</t>
  </si>
  <si>
    <t>PMI-SECRETARIA DE GOVERNO</t>
  </si>
  <si>
    <t>AK92028001</t>
  </si>
  <si>
    <t>AK78037347</t>
  </si>
  <si>
    <t>PMI DEREM</t>
  </si>
  <si>
    <t>AK92028006</t>
  </si>
  <si>
    <t>PMI-ENG-COLOR</t>
  </si>
  <si>
    <t>AL97041269</t>
  </si>
  <si>
    <t>PMI-TRANCOLETIVO-COLOR</t>
  </si>
  <si>
    <t>AL99002943</t>
  </si>
  <si>
    <t>SEGEM</t>
  </si>
  <si>
    <t>AL59010700</t>
  </si>
  <si>
    <t>PMI-SEMOP-COLOR</t>
  </si>
  <si>
    <t>AL7B047345</t>
  </si>
  <si>
    <t>ADM- GABINETE FISCALIZAÇÃO</t>
  </si>
  <si>
    <t>AL9A016437E0</t>
  </si>
  <si>
    <t>PM INDAIATUBA-ADM-CONTABILIDADE</t>
  </si>
  <si>
    <t>BX05004335</t>
  </si>
  <si>
    <t>PM INDAIATUBA - ADM-PROCON</t>
  </si>
  <si>
    <t>BRBSQ6H03M</t>
  </si>
  <si>
    <t xml:space="preserve">INDAIATUBA - ADM - RECEP. DPT PESSOAL </t>
  </si>
  <si>
    <t>BRBSQCJ10W</t>
  </si>
  <si>
    <t>DERIM</t>
  </si>
  <si>
    <t>BRBSPC311M</t>
  </si>
  <si>
    <t xml:space="preserve">PM INDAIATUBA - RH </t>
  </si>
  <si>
    <t>BRBSPC20QT</t>
  </si>
  <si>
    <t>PMI-DEREM-SUPERIOR</t>
  </si>
  <si>
    <t>BRBSPC3126</t>
  </si>
  <si>
    <t>PMI-CONTABILIDADE</t>
  </si>
  <si>
    <t>BRBSPC312L</t>
  </si>
  <si>
    <t>BRBSPC20Q7</t>
  </si>
  <si>
    <t>PMI-ADM-DESA</t>
  </si>
  <si>
    <t>BRBSPC20PB</t>
  </si>
  <si>
    <t>pmi-sabes</t>
  </si>
  <si>
    <t>BRBSPC311R</t>
  </si>
  <si>
    <t>pmi-senej-frente</t>
  </si>
  <si>
    <t>BRBSPC3123</t>
  </si>
  <si>
    <t>PMI-SEHAB02</t>
  </si>
  <si>
    <t xml:space="preserve">BRBSPC20R6          </t>
  </si>
  <si>
    <t>PM INDAIATUBA - PATRIMONIO</t>
  </si>
  <si>
    <t>BRBSPC20RK</t>
  </si>
  <si>
    <t>PMI-DEPE-PB</t>
  </si>
  <si>
    <t>BRBSPC311W</t>
  </si>
  <si>
    <t>Vigilancia Sanitaria</t>
  </si>
  <si>
    <t>BRBSPC311G</t>
  </si>
  <si>
    <t xml:space="preserve">PM INDAIATUBA-ADM-TESOURARIA </t>
  </si>
  <si>
    <t>BRBSPC312P</t>
  </si>
  <si>
    <t>PM INDAIATUBA - RELAÇÕES INSTITUCIONAIS</t>
  </si>
  <si>
    <t>CNC1PB705V</t>
  </si>
  <si>
    <t>PAMI-GABINETE</t>
  </si>
  <si>
    <t>CNC1Q2P03X</t>
  </si>
  <si>
    <t>PMI-SEMURB-COLOR</t>
  </si>
  <si>
    <t>CNC1Q2P030</t>
  </si>
  <si>
    <t>SECRETARIA</t>
  </si>
  <si>
    <t>MXBCQB801X</t>
  </si>
  <si>
    <t>PMI-COGEM</t>
  </si>
  <si>
    <t>BRBSQ650YL</t>
  </si>
  <si>
    <t>PMI-CORREGEDORIA</t>
  </si>
  <si>
    <t xml:space="preserve">BRBSQ650ZZ          </t>
  </si>
  <si>
    <t>ADM-SECRETARIA DE FAZENDA</t>
  </si>
  <si>
    <t xml:space="preserve">BRBSQ6512P          </t>
  </si>
  <si>
    <t>GABINETE</t>
  </si>
  <si>
    <t>BRBSQ651DK</t>
  </si>
  <si>
    <t>PROCESSAMENTO DE MULTAS</t>
  </si>
  <si>
    <t>CNC1P9Q032</t>
  </si>
  <si>
    <t>SEMURB FISCALIZACAO</t>
  </si>
  <si>
    <t>CNC1PBL00J</t>
  </si>
  <si>
    <t>PMI-SEHAB01</t>
  </si>
  <si>
    <t>CNC1P9R004</t>
  </si>
  <si>
    <t>CEMITERIO  PQ. INDAIA</t>
  </si>
  <si>
    <t>BRBSPCV04J</t>
  </si>
  <si>
    <t>SEMURB - AGENDA VERDE</t>
  </si>
  <si>
    <t>BRBSPCV040</t>
  </si>
  <si>
    <t>PMI-PROMEMO1</t>
  </si>
  <si>
    <t>BRBSPCV04L</t>
  </si>
  <si>
    <t>pmi-semurb-engenharia</t>
  </si>
  <si>
    <t>BRBSQ16155</t>
  </si>
  <si>
    <t>pmi-semurb-oficina</t>
  </si>
  <si>
    <t>BRBSPCV049</t>
  </si>
  <si>
    <t>SEMURB - COMBUSTIVEL</t>
  </si>
  <si>
    <t>BRBSPCV04D</t>
  </si>
  <si>
    <t>SEMURB - BIODIESEL</t>
  </si>
  <si>
    <t>BRBSPCV03V</t>
  </si>
  <si>
    <t>VELODROMO - ALMOXARIFADO</t>
  </si>
  <si>
    <t>BRBSPCV02L</t>
  </si>
  <si>
    <t>VIVEIRO DE MUDAS</t>
  </si>
  <si>
    <t>BRBSQ160FY</t>
  </si>
  <si>
    <t>SEMURB CATA BAGULHO</t>
  </si>
  <si>
    <t>BRBSQ160VF</t>
  </si>
  <si>
    <t>VELODROMO - ASSESSORIA</t>
  </si>
  <si>
    <t>BRBSPCV033</t>
  </si>
  <si>
    <t>PRO MEMORIA ARQ. BIBLIOTECA.</t>
  </si>
  <si>
    <t>BRBSQ160J1</t>
  </si>
  <si>
    <t>PMI-ADM-COMPRAS</t>
  </si>
  <si>
    <t>BRBSPCV03Z</t>
  </si>
  <si>
    <t>SALA DO DIRETOR (JURIDICO)</t>
  </si>
  <si>
    <t>BRBSPCV043</t>
  </si>
  <si>
    <t>DEPE - SALA DO DIRETOR</t>
  </si>
  <si>
    <t>BRBSPCV01N</t>
  </si>
  <si>
    <t xml:space="preserve">PMI-FISCALIZACAO-PB </t>
  </si>
  <si>
    <t>BRBSPCV03J</t>
  </si>
  <si>
    <t>SEC. DA CULTURA - CENTRO DE CONVENÇÕES</t>
  </si>
  <si>
    <t>JPBCQ280FF</t>
  </si>
  <si>
    <t>PMI-ADM-LICITACOES</t>
  </si>
  <si>
    <t>JPBCQ280FB</t>
  </si>
  <si>
    <t>GABINETE DO VICE-PREFEITO</t>
  </si>
  <si>
    <t>JPBCQ280G4</t>
  </si>
  <si>
    <t>PM INDAIATUBA-ADM-FUNDO SOCIAL</t>
  </si>
  <si>
    <t>BRBSR2M057</t>
  </si>
  <si>
    <t>PM INDAIATUBA-ADM-COI</t>
  </si>
  <si>
    <t>JPBCQ280FZ</t>
  </si>
  <si>
    <t>PMI-ADM-DEPIM-RECEPCAO</t>
  </si>
  <si>
    <t>JPBCQ280F8</t>
  </si>
  <si>
    <t>PMI-AMBESP-RCPOUV</t>
  </si>
  <si>
    <t>AK9B023824</t>
  </si>
  <si>
    <t>HOSPITAL DIA - DST/AIDS</t>
  </si>
  <si>
    <t>AK9B023828</t>
  </si>
  <si>
    <t>UPA - SALA DE EMERGENCIA</t>
  </si>
  <si>
    <t>AK9A024837</t>
  </si>
  <si>
    <t>UPA - OBSERVAÇÃO</t>
  </si>
  <si>
    <t>AK9A017969</t>
  </si>
  <si>
    <t>UPA - COORDENAÇÃO DE ENFERMAGEM</t>
  </si>
  <si>
    <t>AK9A024718</t>
  </si>
  <si>
    <t>UPA - COORDENAÇÃO ADM</t>
  </si>
  <si>
    <t>AK9A024719</t>
  </si>
  <si>
    <t>CENTRAL DE AMBULANCIA - ADM</t>
  </si>
  <si>
    <t>AK9A024842</t>
  </si>
  <si>
    <t>UPA - RECEPÇÃO PEDIATRIA</t>
  </si>
  <si>
    <t>AK9A017967</t>
  </si>
  <si>
    <t>PM INDAIATUBA - VIGILANCIA</t>
  </si>
  <si>
    <t>AK9A017866</t>
  </si>
  <si>
    <t>FARMACIA MORADA DO SOL</t>
  </si>
  <si>
    <t>AK9A017965</t>
  </si>
  <si>
    <t>UBS VII - CONSULTORIO 2</t>
  </si>
  <si>
    <t>AK9A024840</t>
  </si>
  <si>
    <t>CEREST</t>
  </si>
  <si>
    <t>AK9A024839</t>
  </si>
  <si>
    <t>UBS IV - RECEPÇÃO</t>
  </si>
  <si>
    <t>AK9A018068</t>
  </si>
  <si>
    <t>UBS II CECAP - RECEPÇÃO</t>
  </si>
  <si>
    <t>AK88003880</t>
  </si>
  <si>
    <t>UBS SAUDE</t>
  </si>
  <si>
    <t>AK9A017889</t>
  </si>
  <si>
    <t>PMI-SVO</t>
  </si>
  <si>
    <t>AK9A017740</t>
  </si>
  <si>
    <t>UBS X - RECEPÇÃO 1</t>
  </si>
  <si>
    <t>AK9A024724</t>
  </si>
  <si>
    <t xml:space="preserve">PSF - JARDIM CAMARGO - RECEPÇÃO </t>
  </si>
  <si>
    <t>AK9A018081</t>
  </si>
  <si>
    <t>PMI-CAPSIJ</t>
  </si>
  <si>
    <t>AK9A018062</t>
  </si>
  <si>
    <t>CAPS AD III</t>
  </si>
  <si>
    <t>AK9B023690</t>
  </si>
  <si>
    <t>FARMACIA UNIFICADA - JUDICIAL</t>
  </si>
  <si>
    <t>AK9A017972</t>
  </si>
  <si>
    <t>PMI-SADIM</t>
  </si>
  <si>
    <t>AK9B023686</t>
  </si>
  <si>
    <t>DEREFIM</t>
  </si>
  <si>
    <t>AK9A024816</t>
  </si>
  <si>
    <t>FARMACIA UNIFICADA</t>
  </si>
  <si>
    <t>AK9A017964</t>
  </si>
  <si>
    <t>PMI-CAPSII</t>
  </si>
  <si>
    <t>AK9A018108</t>
  </si>
  <si>
    <t>ALMOXARIFADO - ESTOQUE DE ENFERMAGEM</t>
  </si>
  <si>
    <t>AK9A018056</t>
  </si>
  <si>
    <t>PMI-SAUDE-REGULACAO</t>
  </si>
  <si>
    <t>AK9A018086</t>
  </si>
  <si>
    <t>PMI-ALMXSAUDEADM</t>
  </si>
  <si>
    <t>AK9A017865</t>
  </si>
  <si>
    <t>UBS JARDIM BRASIL - RECEPÇÃO</t>
  </si>
  <si>
    <t>AK9A024729</t>
  </si>
  <si>
    <t xml:space="preserve">UBS MARITACAS - RECEPÇÃO </t>
  </si>
  <si>
    <t>AK9A024730</t>
  </si>
  <si>
    <t>UBS CAMPO BONITO - RECEPÇÃO</t>
  </si>
  <si>
    <t>AK9A024821</t>
  </si>
  <si>
    <t>CONTROLE DA DENGUE</t>
  </si>
  <si>
    <t>AK9A017976</t>
  </si>
  <si>
    <t>ESPAÇO AVANÇAR</t>
  </si>
  <si>
    <t>AK9A024775</t>
  </si>
  <si>
    <t>PSF PARQUE INDAIA</t>
  </si>
  <si>
    <t>AK9A018080</t>
  </si>
  <si>
    <t>UBS IX</t>
  </si>
  <si>
    <t>AK9A017895</t>
  </si>
  <si>
    <t>HOSPITAL DIA - CENTRO CIRURGICO</t>
  </si>
  <si>
    <t>AK9A017868</t>
  </si>
  <si>
    <t>HOSPITAL DIA - RECEPCAO</t>
  </si>
  <si>
    <t>AK9A018119</t>
  </si>
  <si>
    <t>HOSPITAL DIA - FARMACIA</t>
  </si>
  <si>
    <t>AK9A017946</t>
  </si>
  <si>
    <t xml:space="preserve"> HOSPITAL DIA - CENTRO CIRURGICO</t>
  </si>
  <si>
    <t>AK9B023718</t>
  </si>
  <si>
    <t>PMI-CEO2-MINIHOSPITAL</t>
  </si>
  <si>
    <t>AK9B023705</t>
  </si>
  <si>
    <t>CASA DA  GESTANTE - ENFERMARIA PEDIATRA</t>
  </si>
  <si>
    <t>AK9A024781</t>
  </si>
  <si>
    <t>PMI-HDIA-RCPEXA</t>
  </si>
  <si>
    <t>AK9A017971</t>
  </si>
  <si>
    <t>UBS V - ITAICI</t>
  </si>
  <si>
    <t>AK9A017973</t>
  </si>
  <si>
    <t>PMI-HDIA-REGCIRUR</t>
  </si>
  <si>
    <t>AK9A017951</t>
  </si>
  <si>
    <t>PMI-UBSCANDRADE-RECEP</t>
  </si>
  <si>
    <t>AK9B023693</t>
  </si>
  <si>
    <t>ALMOXARIFADO DA SAUDE</t>
  </si>
  <si>
    <t>AK9A024776</t>
  </si>
  <si>
    <t>PMI-GABSAUDE-PB</t>
  </si>
  <si>
    <t>AK9A017896</t>
  </si>
  <si>
    <t>CEO CENTRAL</t>
  </si>
  <si>
    <t>AK9A024828</t>
  </si>
  <si>
    <t>PMI-UBSVII-COORD</t>
  </si>
  <si>
    <t>AK9A024812</t>
  </si>
  <si>
    <t>Casa da Gestante Ultrassom</t>
  </si>
  <si>
    <t>AK9B023715</t>
  </si>
  <si>
    <t>PM INDAIATUBA-SAUDE-HOSPITAL DIA</t>
  </si>
  <si>
    <t>AK9A024759C0</t>
  </si>
  <si>
    <t>AK9A024809C0</t>
  </si>
  <si>
    <t>SAUDE PSF Carlos Aldrovani - Recepção</t>
  </si>
  <si>
    <t>AK9B023771</t>
  </si>
  <si>
    <t>PM INDAIATUBA-SAUDE UBS- JOÃO PIOLI RECE</t>
  </si>
  <si>
    <t>AK83050121</t>
  </si>
  <si>
    <t>PM INDAIATUBA - SAUDE FARMACIA</t>
  </si>
  <si>
    <t>AK9A024825</t>
  </si>
  <si>
    <t>PM INDAIATUBA - PMI-PSFJDSOL-RECEPCAO</t>
  </si>
  <si>
    <t>AK9C009281</t>
  </si>
  <si>
    <t>HOSPITAL DIA - LABORATÓRIO</t>
  </si>
  <si>
    <t>AK9C009282</t>
  </si>
  <si>
    <t>PSF-PQCOROLLA-RECEP</t>
  </si>
  <si>
    <t>AK7A033839</t>
  </si>
  <si>
    <t xml:space="preserve">PM INDAIATUBA- SAUDE- UP RECEPCÃO </t>
  </si>
  <si>
    <t>AK9A024838</t>
  </si>
  <si>
    <t>UBS JD. UMUARAMA</t>
  </si>
  <si>
    <t>AK98005267</t>
  </si>
  <si>
    <t>UBS Umuarama</t>
  </si>
  <si>
    <t>AK98005264</t>
  </si>
  <si>
    <t>SAUDE-SALA DE CONTROLE DA DENGUE</t>
  </si>
  <si>
    <t>BW04003356</t>
  </si>
  <si>
    <t>PM INDAIATUBA - SEC. SAUDE</t>
  </si>
  <si>
    <t>BRBSPC2001</t>
  </si>
  <si>
    <t>PMI-SAUDEGABINETE-COLOR</t>
  </si>
  <si>
    <t>BRBSQ650YX</t>
  </si>
  <si>
    <t>HOSPITAL DIA - LABORATORIO</t>
  </si>
  <si>
    <t>CNC1P9V01D</t>
  </si>
  <si>
    <t>PSF - JARDIM CAMARGO - SALA AGENTES</t>
  </si>
  <si>
    <t>BRBSPCV020</t>
  </si>
  <si>
    <t>BRBSPCV046</t>
  </si>
  <si>
    <t>HOSPITAL DIA - REGULAÇÃO</t>
  </si>
  <si>
    <t>BRBSQ160WV</t>
  </si>
  <si>
    <t>UBS X - RECPÇÃO 2</t>
  </si>
  <si>
    <t>BRBSPCV03Q</t>
  </si>
  <si>
    <t>CENTRAL DE AMBULANCIA - CONTROLE</t>
  </si>
  <si>
    <t>BRBSPCV01W</t>
  </si>
  <si>
    <t>UBS II CECAP</t>
  </si>
  <si>
    <t>BRBSPCV030</t>
  </si>
  <si>
    <t>PSF JARDIM DO SOL - POS CONSULTA</t>
  </si>
  <si>
    <t>BRBSPCV03L</t>
  </si>
  <si>
    <t>SAU-PSF CAMARGO ANDRADE</t>
  </si>
  <si>
    <t>BRBSPCV034</t>
  </si>
  <si>
    <t>UBS VII - CONSULTORIO 1</t>
  </si>
  <si>
    <t>BRBSPCV02D</t>
  </si>
  <si>
    <t>PMI-PSFPQINDAIA-ADM</t>
  </si>
  <si>
    <t>BRBSPCV03W</t>
  </si>
  <si>
    <t>PMI-PSFCALDROVANDI-AGENTES</t>
  </si>
  <si>
    <t>BRBSPCV032</t>
  </si>
  <si>
    <t>CASA DA GESTANTE RECEPCAO</t>
  </si>
  <si>
    <t>BRBSQ160DQ</t>
  </si>
  <si>
    <t>HOSPITAL DIA - Consult. 2</t>
  </si>
  <si>
    <t>BRBSQ160G4</t>
  </si>
  <si>
    <t>UBS JOAO PIOLI - ENFERMAGEM</t>
  </si>
  <si>
    <t>BRBSQ160V6</t>
  </si>
  <si>
    <t>UBS JOAO PIOLI - ACOLHIMENTO</t>
  </si>
  <si>
    <t>BRBSQ160FK</t>
  </si>
  <si>
    <t>pmi-ubscbonito-recepcao</t>
  </si>
  <si>
    <t>BRBSQ160C6</t>
  </si>
  <si>
    <t>UBS MARITACAS - SALA DE INALAÇÃO</t>
  </si>
  <si>
    <t>BRBSQ160V2</t>
  </si>
  <si>
    <t>PMI-PSFJDBRASIL-REC01</t>
  </si>
  <si>
    <t>BRBSQ16159</t>
  </si>
  <si>
    <t>HOSPTITAL DIA - UBS 1</t>
  </si>
  <si>
    <t>BRBSQ1615D</t>
  </si>
  <si>
    <t>HOSPITAL DIA - TESTES ERGOMETRICO</t>
  </si>
  <si>
    <t>BRBSQ16136</t>
  </si>
  <si>
    <t>HOSPITAL DIA - ALTO CUSTO</t>
  </si>
  <si>
    <t>BRBSQ16139</t>
  </si>
  <si>
    <t>HOSPITAL DIA - UBS I</t>
  </si>
  <si>
    <t>BRBSQ160XN</t>
  </si>
  <si>
    <t>HOSPITAL DIA - RECEPÇÃO CENTRAL</t>
  </si>
  <si>
    <t>BRBSPCV01T</t>
  </si>
  <si>
    <t xml:space="preserve">HOSPITAL DIA - DIA  SALA UBS I    </t>
  </si>
  <si>
    <t>BRBSQ16154</t>
  </si>
  <si>
    <t>BRBSPCV04M</t>
  </si>
  <si>
    <t>PSF PQ COROLA - POS CONSULTA</t>
  </si>
  <si>
    <t>BRBSPCV031</t>
  </si>
  <si>
    <t>UPA - MEDICAÇÃO PEDIATRICA</t>
  </si>
  <si>
    <t>BRBSPCV02J</t>
  </si>
  <si>
    <t>AMBULATORIO DE ESPECIALIDADES - CONSULTORIO 4</t>
  </si>
  <si>
    <t>BRBSPCV02R</t>
  </si>
  <si>
    <t>UPA - FARMACIA</t>
  </si>
  <si>
    <t>BRBSPCV038</t>
  </si>
  <si>
    <t>UPA - SALA DE MEDICAÇÃO</t>
  </si>
  <si>
    <t>BRBSQ160NJ</t>
  </si>
  <si>
    <t>UPA - FATURAMENTO</t>
  </si>
  <si>
    <t>BRBSPCV036</t>
  </si>
  <si>
    <t>AMBULATORIO DE ESPECIALIDADES - RECEPÇÃO CENTRAL</t>
  </si>
  <si>
    <t>BRBSPCV03R</t>
  </si>
  <si>
    <t>BRBSPCV029</t>
  </si>
  <si>
    <t>UBS IV - SALA DE ENFERMAGEM</t>
  </si>
  <si>
    <t>BRBSPCV01V</t>
  </si>
  <si>
    <t>BRBSPCV02Z</t>
  </si>
  <si>
    <t>BRBSPCV01J</t>
  </si>
  <si>
    <t>PMI-ALMXSAUDE-VACINA</t>
  </si>
  <si>
    <t>BRBSPCV04B</t>
  </si>
  <si>
    <t>SAU-UBS VII-CONSULTORIO 7</t>
  </si>
  <si>
    <t>BRBSQ160XD</t>
  </si>
  <si>
    <t>UBS VII - CONSULTORIO 7</t>
  </si>
  <si>
    <t>BRBSQ1613D</t>
  </si>
  <si>
    <t>EDUCAÇÃO</t>
  </si>
  <si>
    <t>CIAEI - AVALIAÇÃO</t>
  </si>
  <si>
    <t>BRBSQ6K01J</t>
  </si>
  <si>
    <t>CIAEI - NIAPE</t>
  </si>
  <si>
    <t>BRBSQ6J17Q</t>
  </si>
  <si>
    <t>EMEB PROF MARIA JOAO DE CAMPOS</t>
  </si>
  <si>
    <t>BRBSQ6K006</t>
  </si>
  <si>
    <t>EMEB MARIA JOSE AMBIEL MARACHINI</t>
  </si>
  <si>
    <t>BRBSQ6K01W</t>
  </si>
  <si>
    <t>EMEB PROF LEONEL JOSE VITORINO</t>
  </si>
  <si>
    <t>BRBSQ6K01X</t>
  </si>
  <si>
    <t>CRECHE PROFª LOURDES FALEIROS PE</t>
  </si>
  <si>
    <t>BRBSQ6J14C</t>
  </si>
  <si>
    <t>CRECHE JOSE BALDUINO DE CAMPOS</t>
  </si>
  <si>
    <t>BRBSQ6H03P</t>
  </si>
  <si>
    <t>EMEB PROF JOAO BATISTA DE MACEDO</t>
  </si>
  <si>
    <t>BRBSQ6H03F</t>
  </si>
  <si>
    <t>CIAEI-ADM-INFORMATICA</t>
  </si>
  <si>
    <t>BRBSQ6J16P</t>
  </si>
  <si>
    <t>PMI-EMEBMNP-SEC1</t>
  </si>
  <si>
    <t>BRBSQ6K01V</t>
  </si>
  <si>
    <t>CIAEI - LOGÍSTICA</t>
  </si>
  <si>
    <t>BRBSQ6K020</t>
  </si>
  <si>
    <t>EMEB MARIA CECILIA INFANGER</t>
  </si>
  <si>
    <t>BRBSQ6K01B</t>
  </si>
  <si>
    <t xml:space="preserve">EMEB PROFª MARIA IGNEZ PINEZZI  </t>
  </si>
  <si>
    <t>BRBSQ6J14X</t>
  </si>
  <si>
    <t>EMEB ALB-DIRETORIA</t>
  </si>
  <si>
    <t>BRBSQ6J15D</t>
  </si>
  <si>
    <t>CIAEI - OBRAS E MANUTENÇÃO</t>
  </si>
  <si>
    <t>BRBSQ6K01H</t>
  </si>
  <si>
    <t>EMEB JANETE VIEIRA VAQUEIRO</t>
  </si>
  <si>
    <t>BRBSQ6H01M</t>
  </si>
  <si>
    <t>EMEB PROF PATROCINIA ROBLES PROV</t>
  </si>
  <si>
    <t>BRBSQ6H01S</t>
  </si>
  <si>
    <t>EMEB FRANCISCA LUCINDA BUENO</t>
  </si>
  <si>
    <t>BRBSQ6G1MF</t>
  </si>
  <si>
    <t>PMI-EMEBRGAB-DIRETORIA</t>
  </si>
  <si>
    <t>BRBSQ6H028</t>
  </si>
  <si>
    <t>CRECHE PINGO DE GENTE</t>
  </si>
  <si>
    <t>BRBSQ6G1KF</t>
  </si>
  <si>
    <t>EMEB PROF. NIZIO VIEIRA FUNDAMENTAL</t>
  </si>
  <si>
    <t>BRBSQ6H01X</t>
  </si>
  <si>
    <t xml:space="preserve">EMEB PROF OSORIO GERMANO SILVA F </t>
  </si>
  <si>
    <t>BRBSQ6H03Q</t>
  </si>
  <si>
    <t>EMEB PROFª MARIA ALBERTINA BANNW</t>
  </si>
  <si>
    <t>BRBSQ6H02P</t>
  </si>
  <si>
    <t>CIAEI - SUPERVISÃO EDUCACCIONAL</t>
  </si>
  <si>
    <t>BRBSQ6H031</t>
  </si>
  <si>
    <t>CRECHE DALVA COLTRO DENNY</t>
  </si>
  <si>
    <t>BRBSQ6H03H</t>
  </si>
  <si>
    <t>EMEB IDELFONSO STEHLE</t>
  </si>
  <si>
    <t>BRBSQ6K01C</t>
  </si>
  <si>
    <t>PMI-CRECHEAMW</t>
  </si>
  <si>
    <t>BRBSQ6H02J</t>
  </si>
  <si>
    <t>EMEB PROF WELLINGTON LOMBARDI SO</t>
  </si>
  <si>
    <t>BRBSQ6H02T</t>
  </si>
  <si>
    <t>PMI-EMEBGALC-SECRETARIA</t>
  </si>
  <si>
    <t>BRBSQ6H03D</t>
  </si>
  <si>
    <t>EMEB - SYLVIA T CAMARGO</t>
  </si>
  <si>
    <t>BRBSQ6H01N</t>
  </si>
  <si>
    <t>CRECHE MARIA APARECIDA MISURINI</t>
  </si>
  <si>
    <t>BRBSQ6H02K</t>
  </si>
  <si>
    <t xml:space="preserve">EMEB CLEONICE LEMES NARSSI </t>
  </si>
  <si>
    <t>BRBSQ6H01K</t>
  </si>
  <si>
    <t>PMI-EMEBLCBM-SEC01</t>
  </si>
  <si>
    <t>BRBSQ6K025</t>
  </si>
  <si>
    <t>CRECHE PROFª SILVIA LUCIA SILVA</t>
  </si>
  <si>
    <t>BRBSQ6K021</t>
  </si>
  <si>
    <t xml:space="preserve">EMEB ELIZABETH LOURDES </t>
  </si>
  <si>
    <t>BRBSQ9Q0V6</t>
  </si>
  <si>
    <t>PMI-CRECHE EMP</t>
  </si>
  <si>
    <t>BRBSQ6H000</t>
  </si>
  <si>
    <t>EDUC-EMEBSERGIOMARIO-SEC01</t>
  </si>
  <si>
    <t>BRBSQC70J8</t>
  </si>
  <si>
    <t>EMEB PROFª SINESIA MARTINI</t>
  </si>
  <si>
    <t>BRBSQ6H02R</t>
  </si>
  <si>
    <t>CRECHE PROF MORIVALDO ANTONIO M.</t>
  </si>
  <si>
    <t>BRBSQBT0F0</t>
  </si>
  <si>
    <t>EMEB PROF SUELY TEREZINHA AMSTAL</t>
  </si>
  <si>
    <t>BRBSQ6K01K</t>
  </si>
  <si>
    <t xml:space="preserve">Emeb Luiz Carlos Batista de M. </t>
  </si>
  <si>
    <t>BRBSQ6G1HG</t>
  </si>
  <si>
    <t>CRECHE LUCIANA CANDIDO CARNEIRO</t>
  </si>
  <si>
    <t>BRBSQ6G1HR</t>
  </si>
  <si>
    <t>CRECHE PROFª MARINA DIAS C MACEDO</t>
  </si>
  <si>
    <t>BRBSQ6H01P</t>
  </si>
  <si>
    <t>EMEB MJC-SECRETARIA</t>
  </si>
  <si>
    <t>BRBSQ6K00P</t>
  </si>
  <si>
    <t>COMPLEXO LAURA FAHL CORREA</t>
  </si>
  <si>
    <t>BRBSQ6K00S</t>
  </si>
  <si>
    <t>Coordenação de Suprimentos e Patrimônio.</t>
  </si>
  <si>
    <t>BRBSQ6K00L</t>
  </si>
  <si>
    <t>EMEB JOAQUIM ROCHA</t>
  </si>
  <si>
    <t>BRBSQ6K012</t>
  </si>
  <si>
    <t>EMEB PARQUE DAS NACOES "LEONARDO BRAZ ZU</t>
  </si>
  <si>
    <t>BRBSQ6H0K8</t>
  </si>
  <si>
    <t>EMEB/CRECHE DR. JACOMO NAZARIO</t>
  </si>
  <si>
    <t>BRBSQ6H03K</t>
  </si>
  <si>
    <t>EMEB PROF. NIZIO VIEIRA INFANTIL</t>
  </si>
  <si>
    <t>BRBSQ6H02S</t>
  </si>
  <si>
    <t xml:space="preserve">Emeb e Creche Dona Rosinha Candello </t>
  </si>
  <si>
    <t>BRBSQ6J17R</t>
  </si>
  <si>
    <t>PMI-EMEB YOLANDA-SEC01</t>
  </si>
  <si>
    <t>BRBSQ6H004</t>
  </si>
  <si>
    <t>EMEB PROFª MARIA HELENA DA COSTA</t>
  </si>
  <si>
    <t>BRBSQ6K002</t>
  </si>
  <si>
    <t>EMEB PROF WALDA STOCCO P</t>
  </si>
  <si>
    <t>BRBSQ6K011</t>
  </si>
  <si>
    <t>EMEB ARCHIMEDES PRANDINI</t>
  </si>
  <si>
    <t>BRBSQ6J07J</t>
  </si>
  <si>
    <t>PMI-CRECHEVLTM</t>
  </si>
  <si>
    <t>BRBSQ6K001</t>
  </si>
  <si>
    <t>CRECHE AMIGUINHOS DE JESUS</t>
  </si>
  <si>
    <t>BRBSQ6J06T</t>
  </si>
  <si>
    <t>EMEB MIYOJI TAKAHARA</t>
  </si>
  <si>
    <t>BRBSQ6K01F</t>
  </si>
  <si>
    <t>Emeb Prof. João Marinho Filho</t>
  </si>
  <si>
    <t xml:space="preserve">BRBSQ6H03G          </t>
  </si>
  <si>
    <t>CRECHE FRANSCICA NADINE FERREIRA</t>
  </si>
  <si>
    <t xml:space="preserve">BRBSQ6H022          </t>
  </si>
  <si>
    <t>PMI-BOSQUEDOSABER</t>
  </si>
  <si>
    <t>BRBSQ6H0KH</t>
  </si>
  <si>
    <t>EMEB DBS 52645</t>
  </si>
  <si>
    <t>BRBSQ6H003</t>
  </si>
  <si>
    <t>ALIMENTAÇÃO ESCOLAR</t>
  </si>
  <si>
    <t>BRBSQ6H035</t>
  </si>
  <si>
    <t>CIAEI - GABINETE</t>
  </si>
  <si>
    <t>BRBSQ6H03J</t>
  </si>
  <si>
    <t>CIAEI - CONTRATOS</t>
  </si>
  <si>
    <t>BRBSQ6K008</t>
  </si>
  <si>
    <t>CIAEI-DEPOSITOINFORMATICA</t>
  </si>
  <si>
    <t>BRBSQ6H0Z9</t>
  </si>
  <si>
    <t>CIAEI - ADM COMPRAS</t>
  </si>
  <si>
    <t>BRBSQ6K00J</t>
  </si>
  <si>
    <t>PMI-CRECHEVANIA APARECIDA</t>
  </si>
  <si>
    <t>BRBSQ6K01P</t>
  </si>
  <si>
    <t>EMEB JOÃO EMILIO ANGELIERE</t>
  </si>
  <si>
    <t>BRBSQ6H03B</t>
  </si>
  <si>
    <t>CIAEI FINANCEIRO</t>
  </si>
  <si>
    <t>BRBSQ6K022</t>
  </si>
  <si>
    <t>EMEB PATROCINIA-COORD</t>
  </si>
  <si>
    <t>BRBSQBV0DW</t>
  </si>
  <si>
    <t>NÚCLEO DE FORMAÇÃO</t>
  </si>
  <si>
    <t>BRBSQCJ0QH</t>
  </si>
  <si>
    <t>EDUC-CIAEI RECEPCAO</t>
  </si>
  <si>
    <t>BRBSQCK08P</t>
  </si>
  <si>
    <t>RECEPÇÃO</t>
  </si>
  <si>
    <t>BRBSQCJ11X</t>
  </si>
  <si>
    <t>EDUC-CRECHEPAULODETARSO</t>
  </si>
  <si>
    <t>BRBSQCK096</t>
  </si>
  <si>
    <t>EDUC-CRECHE MARTHA STEINER</t>
  </si>
  <si>
    <t>BRBSQCK099</t>
  </si>
  <si>
    <t>SUPORTE TECNICO</t>
  </si>
  <si>
    <t>BRBSQCK08J</t>
  </si>
  <si>
    <t xml:space="preserve">Complexo Educ. Prof. Jose Arruda </t>
  </si>
  <si>
    <t>BRBSQCJ0Z8</t>
  </si>
  <si>
    <t>EMEB FRANCISCA LUCINDA</t>
  </si>
  <si>
    <t>BRBSQCJ0FX</t>
  </si>
  <si>
    <t>EMEB MARIA JOSÉ DE CAMPOS</t>
  </si>
  <si>
    <t>BRBSQCJ126</t>
  </si>
  <si>
    <t>EMEB NIZIO VIEIRA INFANTIL</t>
  </si>
  <si>
    <t>BRBSQBV0H6</t>
  </si>
  <si>
    <t>EMEB WALDA STOCCO</t>
  </si>
  <si>
    <t>BRBSQCJ12G</t>
  </si>
  <si>
    <t>CIAEI - NUCLEO DE EDUCAÇÃO ESPECIAL</t>
  </si>
  <si>
    <t>BRBSQBT0C6</t>
  </si>
  <si>
    <t>EMEB PROFA. SUELY TEREZINHA</t>
  </si>
  <si>
    <t>BRBSQCJ0KB</t>
  </si>
  <si>
    <t>EMEB CRECHE JOANA GURGEL</t>
  </si>
  <si>
    <t>BRBSQCJ0XN</t>
  </si>
  <si>
    <t>CRECHE FRANCISCA NADIR</t>
  </si>
  <si>
    <t>BRBSQCJ0JT</t>
  </si>
  <si>
    <t>CRECHE ESMERALDA MARTINI</t>
  </si>
  <si>
    <t>BRBSQCJ10S</t>
  </si>
  <si>
    <t>CRECHE MARINA DIAS</t>
  </si>
  <si>
    <t>BRBSQBV0MM</t>
  </si>
  <si>
    <t>Emeb Aurea Moreira da Costa</t>
  </si>
  <si>
    <t>BRBSQBL0CK</t>
  </si>
  <si>
    <t>CRECHE JOSE PAVANI</t>
  </si>
  <si>
    <t>BRBSQCJ0QZ</t>
  </si>
  <si>
    <t>CIAEI – CENTRO DE DISTRIBUIÇÃO</t>
  </si>
  <si>
    <t>BRBSQ6H008</t>
  </si>
  <si>
    <t xml:space="preserve">EMEB MARIA BENEDICTA </t>
  </si>
  <si>
    <t>BRBSQ6H0Z6</t>
  </si>
  <si>
    <t xml:space="preserve">Emeb Aparecido Batista dos S. </t>
  </si>
  <si>
    <t>BRBSQ6K01L</t>
  </si>
  <si>
    <t>EMEB PROF WLADIMIR OLIVIER</t>
  </si>
  <si>
    <t>BRBSQCJ0SG</t>
  </si>
  <si>
    <t>SME - CIAEI - ORIENTAÇÃO</t>
  </si>
  <si>
    <t>BRBSQ9W06Z</t>
  </si>
  <si>
    <t xml:space="preserve">SME-CIAEI-OBRAS E MANUTENCAO        </t>
  </si>
  <si>
    <t>BRBSQCK091</t>
  </si>
  <si>
    <t xml:space="preserve">SME-CIAEI-TRANSPORTE                </t>
  </si>
  <si>
    <t>BRBSQCJ11B</t>
  </si>
  <si>
    <t xml:space="preserve">SME-CIAEI-ADM INFORMATICA           </t>
  </si>
  <si>
    <t>BRBSQCJ0YP</t>
  </si>
  <si>
    <t xml:space="preserve">SME-CIAEI- GESTAO PESSOAL SALA 1    </t>
  </si>
  <si>
    <t>BRBSQCJ118</t>
  </si>
  <si>
    <t>PM INDAIATUBA-SME-EMEB PROF MARIA CONCEICAO G BEGA</t>
  </si>
  <si>
    <t>BRBSQ9W06X</t>
  </si>
  <si>
    <t xml:space="preserve">CENTRAL DE COPIAS </t>
  </si>
  <si>
    <t>SME-EMEB PROF MARIA G BEGA</t>
  </si>
  <si>
    <t>BRBSQCJ0W1</t>
  </si>
  <si>
    <t>AMELIA AUGUSTA COPPINI (LAGUNA)</t>
  </si>
  <si>
    <t>BRBSQCJ10D</t>
  </si>
  <si>
    <t>CASA DA CRIANCA JESUS NAZARETH</t>
  </si>
  <si>
    <t>BRBSQCJ12H</t>
  </si>
  <si>
    <t xml:space="preserve">INDAIATUBA - MARIA DAS DORES TASCA </t>
  </si>
  <si>
    <t>BRBSQC70LB</t>
  </si>
  <si>
    <t>INDAIATUBA- MARIA ESTELLA AMSTALDEN</t>
  </si>
  <si>
    <t>BRBSQC70LN</t>
  </si>
  <si>
    <t>ANA MARIA PIGATTO</t>
  </si>
  <si>
    <t>BRBSQCJ0KJ</t>
  </si>
  <si>
    <t xml:space="preserve">ELVIRA MARIA MAFFEI </t>
  </si>
  <si>
    <t>BRBSQBV0F5</t>
  </si>
  <si>
    <t>FRANCISCA DO AMARAL</t>
  </si>
  <si>
    <t>BRBSQCK08Z</t>
  </si>
  <si>
    <t>LAURA FONSECA DE SOUZA</t>
  </si>
  <si>
    <t>BRBSQCJ0ZX</t>
  </si>
  <si>
    <t>BRBSPC311K</t>
  </si>
  <si>
    <t>BRBSPC312N</t>
  </si>
  <si>
    <t>EMEB PROF SERGIO MARIO ALMEIDA</t>
  </si>
  <si>
    <t>BRBSPC3119</t>
  </si>
  <si>
    <t>EMEB PROFª MARIA BENEDICTA G</t>
  </si>
  <si>
    <t>BRBSPC311F</t>
  </si>
  <si>
    <t>EMEB WLADIMIR OLIVIER</t>
  </si>
  <si>
    <t>BRBSPC311L</t>
  </si>
  <si>
    <t>BRBSPC3125</t>
  </si>
  <si>
    <t>EMEB ALB-SECRETARIA</t>
  </si>
  <si>
    <t>BRBSPCV00N</t>
  </si>
  <si>
    <t xml:space="preserve"> EDUC-EMEBNVF01</t>
  </si>
  <si>
    <t>BRBSPC20RH</t>
  </si>
  <si>
    <t>EDUC-COMP-LAURAFAHL-SEC01</t>
  </si>
  <si>
    <t>BRBSPC3000</t>
  </si>
  <si>
    <t>PMI-EMEBMHCS-SEC01</t>
  </si>
  <si>
    <t>BRBSPC20R7</t>
  </si>
  <si>
    <t>EMEB PROFª YOLANDA STEFFEN</t>
  </si>
  <si>
    <t>BRBSQ3X0BK</t>
  </si>
  <si>
    <t>BRBSPC20QS</t>
  </si>
  <si>
    <t>EMEB PROFª MARIA IGNEZ PINEZZI</t>
  </si>
  <si>
    <t>BRBSPC312H</t>
  </si>
  <si>
    <t>BRBSPC3112</t>
  </si>
  <si>
    <t>BRBSPCV002</t>
  </si>
  <si>
    <t>EMEB PROF APARECIDO BATISTA SANTOS</t>
  </si>
  <si>
    <t>BRBSPC3117</t>
  </si>
  <si>
    <t>EMEB PROFª ELIZABETH LOURDES C.</t>
  </si>
  <si>
    <t>BRBSPC312F</t>
  </si>
  <si>
    <t>EMEB PROF LUIZ CARLOS BATISTA MO</t>
  </si>
  <si>
    <t>BRBSPC3111</t>
  </si>
  <si>
    <t>PMI-EMEBCLN-COORD</t>
  </si>
  <si>
    <t>BRBSPC311D</t>
  </si>
  <si>
    <t>BRBSPC312Q</t>
  </si>
  <si>
    <t>PMI-EMEBDB62655</t>
  </si>
  <si>
    <t>BRBSPC3113</t>
  </si>
  <si>
    <t>EMEB PROFª AUREA MOREIRA COSTA</t>
  </si>
  <si>
    <t>BRBSPC300B</t>
  </si>
  <si>
    <t>EMEB RENATA GUIMARAES BRANDAO</t>
  </si>
  <si>
    <t xml:space="preserve">BRBSPC20RF          </t>
  </si>
  <si>
    <t xml:space="preserve">BRBSPC20QG          </t>
  </si>
  <si>
    <t>PMI-EMEBMJAM-COORD</t>
  </si>
  <si>
    <t>BRBSPC3127</t>
  </si>
  <si>
    <t>EMEB PADRE JOAQUIM</t>
  </si>
  <si>
    <t>BRBSPC3122</t>
  </si>
  <si>
    <t>EMEB JOAO MARINHO FILHO</t>
  </si>
  <si>
    <t>BRBSPC20QH</t>
  </si>
  <si>
    <t>INDAIATUBA-MARIA JOSE ARRUDA MARTINHAO</t>
  </si>
  <si>
    <t>BRBST6V09Y</t>
  </si>
  <si>
    <t>CIAEI CENTRAL DE COPIAS</t>
  </si>
  <si>
    <t>CNC1PB705M</t>
  </si>
  <si>
    <t>Complexo Educ. Prof. Jose Arruda</t>
  </si>
  <si>
    <t>BRBSQ160FZ</t>
  </si>
  <si>
    <t>EDUC-CRECHENIZIOVIEIRA</t>
  </si>
  <si>
    <t>BRBSQ160W4</t>
  </si>
  <si>
    <t>EDUC-CRECHEMAERAINHA</t>
  </si>
  <si>
    <t>BRBSQ160HH</t>
  </si>
  <si>
    <t>EDUC-EMEBNVFCOORD</t>
  </si>
  <si>
    <t>BRBSQ160BM</t>
  </si>
  <si>
    <t>BRBSQ160YK</t>
  </si>
  <si>
    <t>EMEB PROFª MARIA NAZARETH PIMENTEL</t>
  </si>
  <si>
    <t>BRBSQ160X2</t>
  </si>
  <si>
    <t>PMI-ELVIRA</t>
  </si>
  <si>
    <t>BRBSQ160YT</t>
  </si>
  <si>
    <t>EDUC-CRECHEJORGEALVESBROWN</t>
  </si>
  <si>
    <t>BRBSPCV024</t>
  </si>
  <si>
    <t xml:space="preserve">Creche Barbara de Almeida </t>
  </si>
  <si>
    <t>BRBSQ160Y9</t>
  </si>
  <si>
    <t>BRBSPCV03P</t>
  </si>
  <si>
    <t>EDUC-CRECHEMARINAMASCHIETTO</t>
  </si>
  <si>
    <t>BRBSQ160XY</t>
  </si>
  <si>
    <t xml:space="preserve">Creche Ruth </t>
  </si>
  <si>
    <t>BRBSPCV03X</t>
  </si>
  <si>
    <t>EDUC-CRECHEBENEDITOMISKO</t>
  </si>
  <si>
    <t>BRBSQ160TV</t>
  </si>
  <si>
    <t>CIAEI-SUPERVISAO</t>
  </si>
  <si>
    <t>JPBCQ280F4</t>
  </si>
  <si>
    <t xml:space="preserve">SME-CIAEI-NUCLEO DE INFORMACAO      </t>
  </si>
  <si>
    <t>JPBCR1Y07P</t>
  </si>
  <si>
    <t xml:space="preserve">SME_CIAEI_GABINETE DO SECRETARIO    </t>
  </si>
  <si>
    <t>JPBCR2G07M</t>
  </si>
  <si>
    <t xml:space="preserve">SME-CIAEI-ORIENTACAO PEDAGOGICA     </t>
  </si>
  <si>
    <t>JPBCR1Y04W</t>
  </si>
  <si>
    <t>SME-CIAEI-SUPERVISAO EDUCA</t>
  </si>
  <si>
    <t>JPBCQCR0WF</t>
  </si>
  <si>
    <t>SME_CIAEI_NUCLEO DE FORMACAO CONTINU</t>
  </si>
  <si>
    <t>JPBCR300LM</t>
  </si>
  <si>
    <t xml:space="preserve">SME-CIAEI CENTRAL DE COPIAS         </t>
  </si>
  <si>
    <t>JPBCQCY0MV</t>
  </si>
  <si>
    <t>CIAEI - SITE</t>
  </si>
  <si>
    <t>EDQ645092P</t>
  </si>
  <si>
    <t xml:space="preserve">PM INDAIATUBA - BACKUP </t>
  </si>
  <si>
    <t>BRBSQC810R</t>
  </si>
  <si>
    <t xml:space="preserve">INDAIATUBA ADM- RECEPÇÃO </t>
  </si>
  <si>
    <t xml:space="preserve">PM INDAIATUBA-ADM-CASA DOS COELHOS-PISO </t>
  </si>
  <si>
    <t>PM INDAIATUBA-ADM-PONTO CIDADAO</t>
  </si>
  <si>
    <t>BRBST6V09W</t>
  </si>
  <si>
    <t>BRBST6V09X</t>
  </si>
  <si>
    <t>CIAEI SUPORTE PEDAGOGICO</t>
  </si>
  <si>
    <t>BRBST9806L</t>
  </si>
  <si>
    <t>CIAEI EVENTOS</t>
  </si>
  <si>
    <t>BRBST9806M</t>
  </si>
  <si>
    <t>UPA OBSERVAÇÃO</t>
  </si>
  <si>
    <t xml:space="preserve">PM INDAIATUBA-SAUDE-UPA SALA OBSERVACAO </t>
  </si>
  <si>
    <t>AK87035888</t>
  </si>
  <si>
    <t>AK78034566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</si>
</sst>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1" xfId="0" applyBorder="1"/>
    <xf numFmtId="1" fontId="0" fillId="0" borderId="12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2" fillId="0" borderId="11" xfId="0" applyFont="1" applyBorder="1"/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0ABF-650B-4BA0-8246-CDE67F40E1D9}">
  <dimension ref="A1:N162"/>
  <sheetViews>
    <sheetView showGridLines="0" workbookViewId="0">
      <selection activeCell="U70" sqref="U70"/>
    </sheetView>
  </sheetViews>
  <sheetFormatPr defaultRowHeight="15" x14ac:dyDescent="0.25"/>
  <cols>
    <col min="1" max="1" width="54" bestFit="1" customWidth="1"/>
    <col min="2" max="2" width="14.28515625" bestFit="1" customWidth="1"/>
    <col min="3" max="4" width="9.140625" style="13"/>
    <col min="5" max="5" width="3.28515625" customWidth="1"/>
    <col min="6" max="6" width="52.28515625" bestFit="1" customWidth="1"/>
    <col min="7" max="7" width="13.7109375" bestFit="1" customWidth="1"/>
    <col min="8" max="9" width="9.140625" style="13"/>
    <col min="10" max="10" width="3.42578125" customWidth="1"/>
    <col min="11" max="11" width="56.42578125" bestFit="1" customWidth="1"/>
    <col min="12" max="12" width="13.85546875" bestFit="1" customWidth="1"/>
    <col min="13" max="14" width="9.140625" style="13"/>
    <col min="15" max="15" width="3.28515625" customWidth="1"/>
  </cols>
  <sheetData>
    <row r="1" spans="1:14" ht="16.5" thickBot="1" x14ac:dyDescent="0.3">
      <c r="A1" s="1" t="s">
        <v>0</v>
      </c>
      <c r="B1" s="2"/>
      <c r="C1" s="2"/>
      <c r="D1" s="3"/>
      <c r="F1" s="4" t="s">
        <v>1</v>
      </c>
      <c r="G1" s="5"/>
      <c r="H1" s="5"/>
      <c r="I1" s="6"/>
      <c r="K1" s="4" t="s">
        <v>463</v>
      </c>
      <c r="L1" s="5"/>
      <c r="M1" s="5"/>
      <c r="N1" s="6"/>
    </row>
    <row r="2" spans="1:14" ht="15.75" thickBot="1" x14ac:dyDescent="0.3">
      <c r="C2" s="7" t="s">
        <v>2</v>
      </c>
      <c r="D2" s="8" t="s">
        <v>3</v>
      </c>
      <c r="H2" s="9" t="s">
        <v>2</v>
      </c>
      <c r="I2" s="9" t="s">
        <v>3</v>
      </c>
      <c r="M2" s="9" t="s">
        <v>2</v>
      </c>
      <c r="N2" s="9" t="s">
        <v>3</v>
      </c>
    </row>
    <row r="3" spans="1:14" x14ac:dyDescent="0.25">
      <c r="A3" s="11" t="s">
        <v>6</v>
      </c>
      <c r="B3" s="11" t="s">
        <v>7</v>
      </c>
      <c r="C3" s="11">
        <v>1687</v>
      </c>
      <c r="D3" s="14">
        <f>C3/500</f>
        <v>3.3740000000000001</v>
      </c>
      <c r="F3" s="11" t="s">
        <v>261</v>
      </c>
      <c r="G3" s="11" t="s">
        <v>262</v>
      </c>
      <c r="H3" s="11">
        <v>5880</v>
      </c>
      <c r="I3" s="10">
        <f>H3/500</f>
        <v>11.76</v>
      </c>
      <c r="K3" s="11" t="s">
        <v>464</v>
      </c>
      <c r="L3" s="11" t="s">
        <v>465</v>
      </c>
      <c r="M3" s="11">
        <v>6148</v>
      </c>
      <c r="N3" s="14">
        <f>M3/500</f>
        <v>12.295999999999999</v>
      </c>
    </row>
    <row r="4" spans="1:14" x14ac:dyDescent="0.25">
      <c r="A4" s="11" t="s">
        <v>8</v>
      </c>
      <c r="B4" s="11" t="s">
        <v>9</v>
      </c>
      <c r="C4" s="11">
        <v>253</v>
      </c>
      <c r="D4" s="15">
        <f t="shared" ref="D4:D67" si="0">C4/500</f>
        <v>0.50600000000000001</v>
      </c>
      <c r="F4" s="11" t="s">
        <v>263</v>
      </c>
      <c r="G4" s="11" t="s">
        <v>264</v>
      </c>
      <c r="H4" s="11">
        <v>7421</v>
      </c>
      <c r="I4" s="12">
        <f t="shared" ref="I4:I67" si="1">H4/500</f>
        <v>14.842000000000001</v>
      </c>
      <c r="K4" s="11" t="s">
        <v>466</v>
      </c>
      <c r="L4" s="11" t="s">
        <v>467</v>
      </c>
      <c r="M4" s="11">
        <v>1236</v>
      </c>
      <c r="N4" s="15">
        <f t="shared" ref="N4:N67" si="2">M4/500</f>
        <v>2.472</v>
      </c>
    </row>
    <row r="5" spans="1:14" x14ac:dyDescent="0.25">
      <c r="A5" s="11" t="s">
        <v>10</v>
      </c>
      <c r="B5" s="11" t="s">
        <v>11</v>
      </c>
      <c r="C5" s="11">
        <v>500</v>
      </c>
      <c r="D5" s="15">
        <f t="shared" si="0"/>
        <v>1</v>
      </c>
      <c r="F5" s="11" t="s">
        <v>265</v>
      </c>
      <c r="G5" s="11" t="s">
        <v>266</v>
      </c>
      <c r="H5" s="11">
        <v>2300</v>
      </c>
      <c r="I5" s="12">
        <f t="shared" si="1"/>
        <v>4.5999999999999996</v>
      </c>
      <c r="K5" s="11" t="s">
        <v>468</v>
      </c>
      <c r="L5" s="11" t="s">
        <v>469</v>
      </c>
      <c r="M5" s="11">
        <v>559</v>
      </c>
      <c r="N5" s="15">
        <f t="shared" si="2"/>
        <v>1.1180000000000001</v>
      </c>
    </row>
    <row r="6" spans="1:14" x14ac:dyDescent="0.25">
      <c r="A6" s="11" t="s">
        <v>12</v>
      </c>
      <c r="B6" s="11" t="s">
        <v>13</v>
      </c>
      <c r="C6" s="11">
        <v>780</v>
      </c>
      <c r="D6" s="15">
        <f t="shared" si="0"/>
        <v>1.56</v>
      </c>
      <c r="F6" s="11" t="s">
        <v>267</v>
      </c>
      <c r="G6" s="11" t="s">
        <v>268</v>
      </c>
      <c r="H6" s="11">
        <v>3601</v>
      </c>
      <c r="I6" s="12">
        <f t="shared" si="1"/>
        <v>7.202</v>
      </c>
      <c r="K6" s="11" t="s">
        <v>470</v>
      </c>
      <c r="L6" s="11" t="s">
        <v>471</v>
      </c>
      <c r="M6" s="11">
        <v>4727</v>
      </c>
      <c r="N6" s="15">
        <f t="shared" si="2"/>
        <v>9.4540000000000006</v>
      </c>
    </row>
    <row r="7" spans="1:14" x14ac:dyDescent="0.25">
      <c r="A7" s="11" t="s">
        <v>14</v>
      </c>
      <c r="B7" s="11" t="s">
        <v>15</v>
      </c>
      <c r="C7" s="11">
        <v>24</v>
      </c>
      <c r="D7" s="15">
        <f t="shared" si="0"/>
        <v>4.8000000000000001E-2</v>
      </c>
      <c r="F7" s="11" t="s">
        <v>269</v>
      </c>
      <c r="G7" s="11" t="s">
        <v>270</v>
      </c>
      <c r="H7" s="11">
        <v>709</v>
      </c>
      <c r="I7" s="12">
        <f t="shared" si="1"/>
        <v>1.4179999999999999</v>
      </c>
      <c r="K7" s="11" t="s">
        <v>472</v>
      </c>
      <c r="L7" s="11" t="s">
        <v>473</v>
      </c>
      <c r="M7" s="11">
        <v>6608</v>
      </c>
      <c r="N7" s="15">
        <f t="shared" si="2"/>
        <v>13.215999999999999</v>
      </c>
    </row>
    <row r="8" spans="1:14" x14ac:dyDescent="0.25">
      <c r="A8" s="11" t="s">
        <v>16</v>
      </c>
      <c r="B8" s="11" t="s">
        <v>17</v>
      </c>
      <c r="C8" s="11">
        <v>2895</v>
      </c>
      <c r="D8" s="15">
        <f t="shared" si="0"/>
        <v>5.79</v>
      </c>
      <c r="F8" s="11" t="s">
        <v>271</v>
      </c>
      <c r="G8" s="11" t="s">
        <v>272</v>
      </c>
      <c r="H8" s="11">
        <v>780</v>
      </c>
      <c r="I8" s="12">
        <f t="shared" si="1"/>
        <v>1.56</v>
      </c>
      <c r="K8" s="11" t="s">
        <v>474</v>
      </c>
      <c r="L8" s="11" t="s">
        <v>475</v>
      </c>
      <c r="M8" s="11">
        <v>2343</v>
      </c>
      <c r="N8" s="15">
        <f t="shared" si="2"/>
        <v>4.6859999999999999</v>
      </c>
    </row>
    <row r="9" spans="1:14" x14ac:dyDescent="0.25">
      <c r="A9" s="11" t="s">
        <v>18</v>
      </c>
      <c r="B9" s="11" t="s">
        <v>19</v>
      </c>
      <c r="C9" s="11">
        <v>2320</v>
      </c>
      <c r="D9" s="15">
        <f t="shared" si="0"/>
        <v>4.6399999999999997</v>
      </c>
      <c r="F9" s="11" t="s">
        <v>273</v>
      </c>
      <c r="G9" s="11" t="s">
        <v>274</v>
      </c>
      <c r="H9" s="11">
        <v>2821</v>
      </c>
      <c r="I9" s="12">
        <f t="shared" si="1"/>
        <v>5.6420000000000003</v>
      </c>
      <c r="K9" s="11" t="s">
        <v>476</v>
      </c>
      <c r="L9" s="11" t="s">
        <v>477</v>
      </c>
      <c r="M9" s="11">
        <v>2798</v>
      </c>
      <c r="N9" s="15">
        <f t="shared" si="2"/>
        <v>5.5960000000000001</v>
      </c>
    </row>
    <row r="10" spans="1:14" x14ac:dyDescent="0.25">
      <c r="A10" s="11" t="s">
        <v>20</v>
      </c>
      <c r="B10" s="11" t="s">
        <v>21</v>
      </c>
      <c r="C10" s="11">
        <v>3621</v>
      </c>
      <c r="D10" s="15">
        <f t="shared" si="0"/>
        <v>7.242</v>
      </c>
      <c r="F10" s="11" t="s">
        <v>275</v>
      </c>
      <c r="G10" s="11" t="s">
        <v>276</v>
      </c>
      <c r="H10" s="11">
        <v>6539</v>
      </c>
      <c r="I10" s="12">
        <f t="shared" si="1"/>
        <v>13.077999999999999</v>
      </c>
      <c r="K10" s="11" t="s">
        <v>478</v>
      </c>
      <c r="L10" s="11" t="s">
        <v>479</v>
      </c>
      <c r="M10" s="11">
        <v>0</v>
      </c>
      <c r="N10" s="15">
        <f t="shared" si="2"/>
        <v>0</v>
      </c>
    </row>
    <row r="11" spans="1:14" x14ac:dyDescent="0.25">
      <c r="A11" s="11" t="s">
        <v>22</v>
      </c>
      <c r="B11" s="11" t="s">
        <v>23</v>
      </c>
      <c r="C11" s="11">
        <v>370</v>
      </c>
      <c r="D11" s="15">
        <f t="shared" si="0"/>
        <v>0.74</v>
      </c>
      <c r="F11" s="11" t="s">
        <v>277</v>
      </c>
      <c r="G11" s="11" t="s">
        <v>278</v>
      </c>
      <c r="H11" s="11">
        <v>735</v>
      </c>
      <c r="I11" s="12">
        <f t="shared" si="1"/>
        <v>1.47</v>
      </c>
      <c r="K11" s="11" t="s">
        <v>480</v>
      </c>
      <c r="L11" s="11" t="s">
        <v>481</v>
      </c>
      <c r="M11" s="11">
        <v>628</v>
      </c>
      <c r="N11" s="15">
        <f t="shared" si="2"/>
        <v>1.256</v>
      </c>
    </row>
    <row r="12" spans="1:14" x14ac:dyDescent="0.25">
      <c r="A12" s="11" t="s">
        <v>24</v>
      </c>
      <c r="B12" s="11" t="s">
        <v>25</v>
      </c>
      <c r="C12" s="11">
        <v>1914</v>
      </c>
      <c r="D12" s="15">
        <f t="shared" si="0"/>
        <v>3.8279999999999998</v>
      </c>
      <c r="F12" s="11" t="s">
        <v>279</v>
      </c>
      <c r="G12" s="11" t="s">
        <v>280</v>
      </c>
      <c r="H12" s="11">
        <v>699</v>
      </c>
      <c r="I12" s="12">
        <f t="shared" si="1"/>
        <v>1.3979999999999999</v>
      </c>
      <c r="K12" s="11" t="s">
        <v>482</v>
      </c>
      <c r="L12" s="11" t="s">
        <v>483</v>
      </c>
      <c r="M12" s="11">
        <v>6016</v>
      </c>
      <c r="N12" s="15">
        <f t="shared" si="2"/>
        <v>12.032</v>
      </c>
    </row>
    <row r="13" spans="1:14" x14ac:dyDescent="0.25">
      <c r="A13" s="11" t="s">
        <v>26</v>
      </c>
      <c r="B13" s="11" t="s">
        <v>27</v>
      </c>
      <c r="C13" s="11">
        <v>1025</v>
      </c>
      <c r="D13" s="15">
        <f t="shared" si="0"/>
        <v>2.0499999999999998</v>
      </c>
      <c r="F13" s="11" t="s">
        <v>281</v>
      </c>
      <c r="G13" s="11" t="s">
        <v>282</v>
      </c>
      <c r="H13" s="11">
        <v>7045</v>
      </c>
      <c r="I13" s="12">
        <f t="shared" si="1"/>
        <v>14.09</v>
      </c>
      <c r="K13" s="11" t="s">
        <v>484</v>
      </c>
      <c r="L13" s="11" t="s">
        <v>485</v>
      </c>
      <c r="M13" s="11">
        <v>1547</v>
      </c>
      <c r="N13" s="15">
        <f t="shared" si="2"/>
        <v>3.0939999999999999</v>
      </c>
    </row>
    <row r="14" spans="1:14" x14ac:dyDescent="0.25">
      <c r="A14" s="11" t="s">
        <v>28</v>
      </c>
      <c r="B14" s="11" t="s">
        <v>29</v>
      </c>
      <c r="C14" s="11">
        <v>4718</v>
      </c>
      <c r="D14" s="15">
        <f t="shared" si="0"/>
        <v>9.4359999999999999</v>
      </c>
      <c r="F14" s="11" t="s">
        <v>283</v>
      </c>
      <c r="G14" s="11" t="s">
        <v>284</v>
      </c>
      <c r="H14" s="11">
        <v>1503</v>
      </c>
      <c r="I14" s="12">
        <f t="shared" si="1"/>
        <v>3.0059999999999998</v>
      </c>
      <c r="K14" s="11" t="s">
        <v>486</v>
      </c>
      <c r="L14" s="11" t="s">
        <v>487</v>
      </c>
      <c r="M14" s="11">
        <v>4884</v>
      </c>
      <c r="N14" s="15">
        <f t="shared" si="2"/>
        <v>9.7680000000000007</v>
      </c>
    </row>
    <row r="15" spans="1:14" x14ac:dyDescent="0.25">
      <c r="A15" s="11" t="s">
        <v>30</v>
      </c>
      <c r="B15" s="11" t="s">
        <v>31</v>
      </c>
      <c r="C15" s="11">
        <v>1843</v>
      </c>
      <c r="D15" s="15">
        <f t="shared" si="0"/>
        <v>3.6859999999999999</v>
      </c>
      <c r="F15" s="11" t="s">
        <v>285</v>
      </c>
      <c r="G15" s="11" t="s">
        <v>286</v>
      </c>
      <c r="H15" s="11">
        <v>4029</v>
      </c>
      <c r="I15" s="12">
        <f t="shared" si="1"/>
        <v>8.0579999999999998</v>
      </c>
      <c r="K15" s="11" t="s">
        <v>488</v>
      </c>
      <c r="L15" s="11" t="s">
        <v>489</v>
      </c>
      <c r="M15" s="11">
        <v>2609</v>
      </c>
      <c r="N15" s="15">
        <f t="shared" si="2"/>
        <v>5.218</v>
      </c>
    </row>
    <row r="16" spans="1:14" x14ac:dyDescent="0.25">
      <c r="A16" s="11" t="s">
        <v>32</v>
      </c>
      <c r="B16" s="11" t="s">
        <v>33</v>
      </c>
      <c r="C16" s="11">
        <v>628</v>
      </c>
      <c r="D16" s="15">
        <f t="shared" si="0"/>
        <v>1.256</v>
      </c>
      <c r="F16" s="11" t="s">
        <v>287</v>
      </c>
      <c r="G16" s="11" t="s">
        <v>288</v>
      </c>
      <c r="H16" s="11">
        <v>1083</v>
      </c>
      <c r="I16" s="12">
        <f t="shared" si="1"/>
        <v>2.1659999999999999</v>
      </c>
      <c r="K16" s="11" t="s">
        <v>490</v>
      </c>
      <c r="L16" s="11" t="s">
        <v>491</v>
      </c>
      <c r="M16" s="11">
        <v>4168</v>
      </c>
      <c r="N16" s="15">
        <f t="shared" si="2"/>
        <v>8.3360000000000003</v>
      </c>
    </row>
    <row r="17" spans="1:14" x14ac:dyDescent="0.25">
      <c r="A17" s="11" t="s">
        <v>34</v>
      </c>
      <c r="B17" s="11" t="s">
        <v>35</v>
      </c>
      <c r="C17" s="11">
        <v>1933</v>
      </c>
      <c r="D17" s="15">
        <f t="shared" si="0"/>
        <v>3.8660000000000001</v>
      </c>
      <c r="F17" s="11" t="s">
        <v>289</v>
      </c>
      <c r="G17" s="11" t="s">
        <v>290</v>
      </c>
      <c r="H17" s="11">
        <v>235</v>
      </c>
      <c r="I17" s="12">
        <f t="shared" si="1"/>
        <v>0.47</v>
      </c>
      <c r="K17" s="11" t="s">
        <v>492</v>
      </c>
      <c r="L17" s="11" t="s">
        <v>493</v>
      </c>
      <c r="M17" s="11">
        <v>3101</v>
      </c>
      <c r="N17" s="15">
        <f t="shared" si="2"/>
        <v>6.202</v>
      </c>
    </row>
    <row r="18" spans="1:14" x14ac:dyDescent="0.25">
      <c r="A18" s="11" t="s">
        <v>36</v>
      </c>
      <c r="B18" s="11" t="s">
        <v>37</v>
      </c>
      <c r="C18" s="11">
        <v>2343</v>
      </c>
      <c r="D18" s="15">
        <f t="shared" si="0"/>
        <v>4.6859999999999999</v>
      </c>
      <c r="F18" s="11" t="s">
        <v>291</v>
      </c>
      <c r="G18" s="11" t="s">
        <v>292</v>
      </c>
      <c r="H18" s="11">
        <v>996</v>
      </c>
      <c r="I18" s="12">
        <f t="shared" si="1"/>
        <v>1.992</v>
      </c>
      <c r="K18" s="11" t="s">
        <v>494</v>
      </c>
      <c r="L18" s="11" t="s">
        <v>495</v>
      </c>
      <c r="M18" s="11">
        <v>3092</v>
      </c>
      <c r="N18" s="15">
        <f t="shared" si="2"/>
        <v>6.1840000000000002</v>
      </c>
    </row>
    <row r="19" spans="1:14" x14ac:dyDescent="0.25">
      <c r="A19" s="11" t="s">
        <v>38</v>
      </c>
      <c r="B19" s="11" t="s">
        <v>39</v>
      </c>
      <c r="C19" s="11">
        <v>3097</v>
      </c>
      <c r="D19" s="15">
        <f t="shared" si="0"/>
        <v>6.194</v>
      </c>
      <c r="F19" s="11" t="s">
        <v>293</v>
      </c>
      <c r="G19" s="11" t="s">
        <v>294</v>
      </c>
      <c r="H19" s="11">
        <v>6755</v>
      </c>
      <c r="I19" s="12">
        <f t="shared" si="1"/>
        <v>13.51</v>
      </c>
      <c r="K19" s="11" t="s">
        <v>496</v>
      </c>
      <c r="L19" s="11" t="s">
        <v>497</v>
      </c>
      <c r="M19" s="11">
        <v>1772</v>
      </c>
      <c r="N19" s="15">
        <f t="shared" si="2"/>
        <v>3.544</v>
      </c>
    </row>
    <row r="20" spans="1:14" x14ac:dyDescent="0.25">
      <c r="A20" s="11" t="s">
        <v>40</v>
      </c>
      <c r="B20" s="11" t="s">
        <v>41</v>
      </c>
      <c r="C20" s="11">
        <v>2105</v>
      </c>
      <c r="D20" s="15">
        <f t="shared" si="0"/>
        <v>4.21</v>
      </c>
      <c r="F20" s="11" t="s">
        <v>295</v>
      </c>
      <c r="G20" s="11" t="s">
        <v>296</v>
      </c>
      <c r="H20" s="11">
        <v>4475</v>
      </c>
      <c r="I20" s="12">
        <f t="shared" si="1"/>
        <v>8.9499999999999993</v>
      </c>
      <c r="K20" s="11" t="s">
        <v>498</v>
      </c>
      <c r="L20" s="11" t="s">
        <v>499</v>
      </c>
      <c r="M20" s="11">
        <v>1619</v>
      </c>
      <c r="N20" s="15">
        <f t="shared" si="2"/>
        <v>3.238</v>
      </c>
    </row>
    <row r="21" spans="1:14" x14ac:dyDescent="0.25">
      <c r="A21" s="11" t="s">
        <v>42</v>
      </c>
      <c r="B21" s="11" t="s">
        <v>43</v>
      </c>
      <c r="C21" s="11">
        <v>1897</v>
      </c>
      <c r="D21" s="15">
        <f t="shared" si="0"/>
        <v>3.794</v>
      </c>
      <c r="F21" s="11" t="s">
        <v>297</v>
      </c>
      <c r="G21" s="11" t="s">
        <v>298</v>
      </c>
      <c r="H21" s="11">
        <v>3711</v>
      </c>
      <c r="I21" s="12">
        <f t="shared" si="1"/>
        <v>7.4219999999999997</v>
      </c>
      <c r="K21" s="11" t="s">
        <v>500</v>
      </c>
      <c r="L21" s="11" t="s">
        <v>501</v>
      </c>
      <c r="M21" s="11">
        <v>14927</v>
      </c>
      <c r="N21" s="15">
        <f t="shared" si="2"/>
        <v>29.853999999999999</v>
      </c>
    </row>
    <row r="22" spans="1:14" x14ac:dyDescent="0.25">
      <c r="A22" s="11" t="s">
        <v>44</v>
      </c>
      <c r="B22" s="11" t="s">
        <v>45</v>
      </c>
      <c r="C22" s="11">
        <v>6408</v>
      </c>
      <c r="D22" s="15">
        <f t="shared" si="0"/>
        <v>12.816000000000001</v>
      </c>
      <c r="F22" s="11" t="s">
        <v>299</v>
      </c>
      <c r="G22" s="11" t="s">
        <v>300</v>
      </c>
      <c r="H22" s="11">
        <v>3573</v>
      </c>
      <c r="I22" s="12">
        <f t="shared" si="1"/>
        <v>7.1459999999999999</v>
      </c>
      <c r="K22" s="11" t="s">
        <v>502</v>
      </c>
      <c r="L22" s="11" t="s">
        <v>503</v>
      </c>
      <c r="M22" s="11">
        <v>4559</v>
      </c>
      <c r="N22" s="15">
        <f t="shared" si="2"/>
        <v>9.1180000000000003</v>
      </c>
    </row>
    <row r="23" spans="1:14" x14ac:dyDescent="0.25">
      <c r="A23" s="11" t="s">
        <v>46</v>
      </c>
      <c r="B23" s="11" t="s">
        <v>47</v>
      </c>
      <c r="C23" s="11">
        <v>585</v>
      </c>
      <c r="D23" s="15">
        <f t="shared" si="0"/>
        <v>1.17</v>
      </c>
      <c r="F23" s="11" t="s">
        <v>301</v>
      </c>
      <c r="G23" s="11" t="s">
        <v>302</v>
      </c>
      <c r="H23" s="11">
        <v>3914</v>
      </c>
      <c r="I23" s="12">
        <f t="shared" si="1"/>
        <v>7.8280000000000003</v>
      </c>
      <c r="K23" s="11" t="s">
        <v>504</v>
      </c>
      <c r="L23" s="11" t="s">
        <v>505</v>
      </c>
      <c r="M23" s="11">
        <v>4456</v>
      </c>
      <c r="N23" s="15">
        <f t="shared" si="2"/>
        <v>8.9120000000000008</v>
      </c>
    </row>
    <row r="24" spans="1:14" x14ac:dyDescent="0.25">
      <c r="A24" s="11" t="s">
        <v>48</v>
      </c>
      <c r="B24" s="11" t="s">
        <v>49</v>
      </c>
      <c r="C24" s="11">
        <v>1267</v>
      </c>
      <c r="D24" s="15">
        <f t="shared" si="0"/>
        <v>2.5339999999999998</v>
      </c>
      <c r="F24" s="11" t="s">
        <v>303</v>
      </c>
      <c r="G24" s="11" t="s">
        <v>304</v>
      </c>
      <c r="H24" s="11">
        <v>1568</v>
      </c>
      <c r="I24" s="12">
        <f t="shared" si="1"/>
        <v>3.1360000000000001</v>
      </c>
      <c r="K24" s="11" t="s">
        <v>506</v>
      </c>
      <c r="L24" s="11" t="s">
        <v>507</v>
      </c>
      <c r="M24" s="11">
        <v>15859</v>
      </c>
      <c r="N24" s="15">
        <f t="shared" si="2"/>
        <v>31.718</v>
      </c>
    </row>
    <row r="25" spans="1:14" x14ac:dyDescent="0.25">
      <c r="A25" s="11" t="s">
        <v>50</v>
      </c>
      <c r="B25" s="11" t="s">
        <v>51</v>
      </c>
      <c r="C25" s="11">
        <v>1739</v>
      </c>
      <c r="D25" s="15">
        <f t="shared" si="0"/>
        <v>3.4780000000000002</v>
      </c>
      <c r="F25" s="11" t="s">
        <v>305</v>
      </c>
      <c r="G25" s="11" t="s">
        <v>306</v>
      </c>
      <c r="H25" s="11">
        <v>4939</v>
      </c>
      <c r="I25" s="12">
        <f t="shared" si="1"/>
        <v>9.8780000000000001</v>
      </c>
      <c r="K25" s="11" t="s">
        <v>508</v>
      </c>
      <c r="L25" s="11" t="s">
        <v>509</v>
      </c>
      <c r="M25" s="11">
        <v>4376</v>
      </c>
      <c r="N25" s="15">
        <f t="shared" si="2"/>
        <v>8.7520000000000007</v>
      </c>
    </row>
    <row r="26" spans="1:14" x14ac:dyDescent="0.25">
      <c r="A26" s="11" t="s">
        <v>52</v>
      </c>
      <c r="B26" s="11" t="s">
        <v>53</v>
      </c>
      <c r="C26" s="11">
        <v>3607</v>
      </c>
      <c r="D26" s="15">
        <f t="shared" si="0"/>
        <v>7.2140000000000004</v>
      </c>
      <c r="F26" s="11" t="s">
        <v>307</v>
      </c>
      <c r="G26" s="11" t="s">
        <v>308</v>
      </c>
      <c r="H26" s="11">
        <v>1027</v>
      </c>
      <c r="I26" s="12">
        <f t="shared" si="1"/>
        <v>2.0539999999999998</v>
      </c>
      <c r="K26" s="11" t="s">
        <v>510</v>
      </c>
      <c r="L26" s="11" t="s">
        <v>511</v>
      </c>
      <c r="M26" s="11">
        <v>844</v>
      </c>
      <c r="N26" s="15">
        <f t="shared" si="2"/>
        <v>1.6879999999999999</v>
      </c>
    </row>
    <row r="27" spans="1:14" x14ac:dyDescent="0.25">
      <c r="A27" s="11" t="s">
        <v>54</v>
      </c>
      <c r="B27" s="11" t="s">
        <v>55</v>
      </c>
      <c r="C27" s="11">
        <v>1333</v>
      </c>
      <c r="D27" s="15">
        <f t="shared" si="0"/>
        <v>2.6659999999999999</v>
      </c>
      <c r="F27" s="11" t="s">
        <v>309</v>
      </c>
      <c r="G27" s="11" t="s">
        <v>310</v>
      </c>
      <c r="H27" s="11">
        <v>3312</v>
      </c>
      <c r="I27" s="12">
        <f t="shared" si="1"/>
        <v>6.6239999999999997</v>
      </c>
      <c r="K27" s="11" t="s">
        <v>512</v>
      </c>
      <c r="L27" s="11" t="s">
        <v>513</v>
      </c>
      <c r="M27" s="11">
        <v>5883</v>
      </c>
      <c r="N27" s="15">
        <f t="shared" si="2"/>
        <v>11.766</v>
      </c>
    </row>
    <row r="28" spans="1:14" x14ac:dyDescent="0.25">
      <c r="A28" s="11" t="s">
        <v>56</v>
      </c>
      <c r="B28" s="11" t="s">
        <v>57</v>
      </c>
      <c r="C28" s="11">
        <v>1592</v>
      </c>
      <c r="D28" s="15">
        <f t="shared" si="0"/>
        <v>3.1840000000000002</v>
      </c>
      <c r="F28" s="11" t="s">
        <v>311</v>
      </c>
      <c r="G28" s="11" t="s">
        <v>312</v>
      </c>
      <c r="H28" s="11">
        <v>1992</v>
      </c>
      <c r="I28" s="12">
        <f t="shared" si="1"/>
        <v>3.984</v>
      </c>
      <c r="K28" s="11" t="s">
        <v>514</v>
      </c>
      <c r="L28" s="11" t="s">
        <v>515</v>
      </c>
      <c r="M28" s="11">
        <v>7955</v>
      </c>
      <c r="N28" s="15">
        <f t="shared" si="2"/>
        <v>15.91</v>
      </c>
    </row>
    <row r="29" spans="1:14" x14ac:dyDescent="0.25">
      <c r="A29" s="11" t="s">
        <v>58</v>
      </c>
      <c r="B29" s="11" t="s">
        <v>59</v>
      </c>
      <c r="C29" s="11">
        <v>798</v>
      </c>
      <c r="D29" s="15">
        <f t="shared" si="0"/>
        <v>1.5960000000000001</v>
      </c>
      <c r="F29" s="11" t="s">
        <v>313</v>
      </c>
      <c r="G29" s="11" t="s">
        <v>314</v>
      </c>
      <c r="H29" s="11">
        <v>7471</v>
      </c>
      <c r="I29" s="12">
        <f t="shared" si="1"/>
        <v>14.942</v>
      </c>
      <c r="K29" s="11" t="s">
        <v>516</v>
      </c>
      <c r="L29" s="11" t="s">
        <v>517</v>
      </c>
      <c r="M29" s="11">
        <v>1185</v>
      </c>
      <c r="N29" s="15">
        <f t="shared" si="2"/>
        <v>2.37</v>
      </c>
    </row>
    <row r="30" spans="1:14" x14ac:dyDescent="0.25">
      <c r="A30" s="11" t="s">
        <v>60</v>
      </c>
      <c r="B30" s="11" t="s">
        <v>61</v>
      </c>
      <c r="C30" s="11">
        <v>7377</v>
      </c>
      <c r="D30" s="15">
        <f t="shared" si="0"/>
        <v>14.754</v>
      </c>
      <c r="F30" s="11" t="s">
        <v>315</v>
      </c>
      <c r="G30" s="11" t="s">
        <v>316</v>
      </c>
      <c r="H30" s="11">
        <v>3381</v>
      </c>
      <c r="I30" s="12">
        <f t="shared" si="1"/>
        <v>6.7619999999999996</v>
      </c>
      <c r="K30" s="11" t="s">
        <v>518</v>
      </c>
      <c r="L30" s="11" t="s">
        <v>519</v>
      </c>
      <c r="M30" s="11">
        <v>1785</v>
      </c>
      <c r="N30" s="15">
        <f t="shared" si="2"/>
        <v>3.57</v>
      </c>
    </row>
    <row r="31" spans="1:14" x14ac:dyDescent="0.25">
      <c r="A31" s="11" t="s">
        <v>62</v>
      </c>
      <c r="B31" s="11" t="s">
        <v>63</v>
      </c>
      <c r="C31" s="11">
        <v>920</v>
      </c>
      <c r="D31" s="15">
        <f t="shared" si="0"/>
        <v>1.84</v>
      </c>
      <c r="F31" s="11" t="s">
        <v>317</v>
      </c>
      <c r="G31" s="11" t="s">
        <v>318</v>
      </c>
      <c r="H31" s="11">
        <v>4395</v>
      </c>
      <c r="I31" s="12">
        <f t="shared" si="1"/>
        <v>8.7899999999999991</v>
      </c>
      <c r="K31" s="11" t="s">
        <v>520</v>
      </c>
      <c r="L31" s="11" t="s">
        <v>521</v>
      </c>
      <c r="M31" s="11">
        <v>2429</v>
      </c>
      <c r="N31" s="15">
        <f t="shared" si="2"/>
        <v>4.8579999999999997</v>
      </c>
    </row>
    <row r="32" spans="1:14" x14ac:dyDescent="0.25">
      <c r="A32" s="11" t="s">
        <v>64</v>
      </c>
      <c r="B32" s="11" t="s">
        <v>65</v>
      </c>
      <c r="C32" s="11">
        <v>1250</v>
      </c>
      <c r="D32" s="15">
        <f t="shared" si="0"/>
        <v>2.5</v>
      </c>
      <c r="F32" s="11" t="s">
        <v>319</v>
      </c>
      <c r="G32" s="11" t="s">
        <v>320</v>
      </c>
      <c r="H32" s="11">
        <v>9006</v>
      </c>
      <c r="I32" s="12">
        <f t="shared" si="1"/>
        <v>18.012</v>
      </c>
      <c r="K32" s="11" t="s">
        <v>522</v>
      </c>
      <c r="L32" s="11" t="s">
        <v>523</v>
      </c>
      <c r="M32" s="11">
        <v>6027</v>
      </c>
      <c r="N32" s="15">
        <f t="shared" si="2"/>
        <v>12.054</v>
      </c>
    </row>
    <row r="33" spans="1:14" x14ac:dyDescent="0.25">
      <c r="A33" s="11" t="s">
        <v>66</v>
      </c>
      <c r="B33" s="11" t="s">
        <v>67</v>
      </c>
      <c r="C33" s="11">
        <v>1860</v>
      </c>
      <c r="D33" s="15">
        <f t="shared" si="0"/>
        <v>3.72</v>
      </c>
      <c r="F33" s="11" t="s">
        <v>321</v>
      </c>
      <c r="G33" s="11" t="s">
        <v>322</v>
      </c>
      <c r="H33" s="11">
        <v>6311</v>
      </c>
      <c r="I33" s="12">
        <f t="shared" si="1"/>
        <v>12.622</v>
      </c>
      <c r="K33" s="11" t="s">
        <v>524</v>
      </c>
      <c r="L33" s="11" t="s">
        <v>525</v>
      </c>
      <c r="M33" s="11">
        <v>2064</v>
      </c>
      <c r="N33" s="15">
        <f t="shared" si="2"/>
        <v>4.1280000000000001</v>
      </c>
    </row>
    <row r="34" spans="1:14" x14ac:dyDescent="0.25">
      <c r="A34" s="11" t="s">
        <v>68</v>
      </c>
      <c r="B34" s="11" t="s">
        <v>69</v>
      </c>
      <c r="C34" s="11">
        <v>5585</v>
      </c>
      <c r="D34" s="15">
        <f t="shared" si="0"/>
        <v>11.17</v>
      </c>
      <c r="F34" s="11" t="s">
        <v>323</v>
      </c>
      <c r="G34" s="11" t="s">
        <v>324</v>
      </c>
      <c r="H34" s="11">
        <v>1957</v>
      </c>
      <c r="I34" s="12">
        <f t="shared" si="1"/>
        <v>3.9140000000000001</v>
      </c>
      <c r="K34" s="11" t="s">
        <v>526</v>
      </c>
      <c r="L34" s="11" t="s">
        <v>527</v>
      </c>
      <c r="M34" s="11">
        <v>30009</v>
      </c>
      <c r="N34" s="15">
        <f t="shared" si="2"/>
        <v>60.018000000000001</v>
      </c>
    </row>
    <row r="35" spans="1:14" x14ac:dyDescent="0.25">
      <c r="A35" s="11" t="s">
        <v>70</v>
      </c>
      <c r="B35" s="11" t="s">
        <v>71</v>
      </c>
      <c r="C35" s="11">
        <v>93</v>
      </c>
      <c r="D35" s="15">
        <f t="shared" si="0"/>
        <v>0.186</v>
      </c>
      <c r="F35" s="11" t="s">
        <v>325</v>
      </c>
      <c r="G35" s="11" t="s">
        <v>326</v>
      </c>
      <c r="H35" s="11">
        <v>1938</v>
      </c>
      <c r="I35" s="12">
        <f t="shared" si="1"/>
        <v>3.8759999999999999</v>
      </c>
      <c r="K35" s="11" t="s">
        <v>528</v>
      </c>
      <c r="L35" s="11" t="s">
        <v>529</v>
      </c>
      <c r="M35" s="11">
        <v>2765</v>
      </c>
      <c r="N35" s="15">
        <f t="shared" si="2"/>
        <v>5.53</v>
      </c>
    </row>
    <row r="36" spans="1:14" x14ac:dyDescent="0.25">
      <c r="A36" s="11" t="s">
        <v>72</v>
      </c>
      <c r="B36" s="11" t="s">
        <v>73</v>
      </c>
      <c r="C36" s="11">
        <v>264</v>
      </c>
      <c r="D36" s="15">
        <f t="shared" si="0"/>
        <v>0.52800000000000002</v>
      </c>
      <c r="F36" s="11" t="s">
        <v>327</v>
      </c>
      <c r="G36" s="11" t="s">
        <v>328</v>
      </c>
      <c r="H36" s="11">
        <v>10218</v>
      </c>
      <c r="I36" s="12">
        <f t="shared" si="1"/>
        <v>20.436</v>
      </c>
      <c r="K36" s="11" t="s">
        <v>530</v>
      </c>
      <c r="L36" s="11" t="s">
        <v>531</v>
      </c>
      <c r="M36" s="11">
        <v>3404</v>
      </c>
      <c r="N36" s="15">
        <f t="shared" si="2"/>
        <v>6.8079999999999998</v>
      </c>
    </row>
    <row r="37" spans="1:14" x14ac:dyDescent="0.25">
      <c r="A37" s="11" t="s">
        <v>74</v>
      </c>
      <c r="B37" s="11" t="s">
        <v>75</v>
      </c>
      <c r="C37" s="11">
        <v>7621</v>
      </c>
      <c r="D37" s="15">
        <f t="shared" si="0"/>
        <v>15.242000000000001</v>
      </c>
      <c r="F37" s="11" t="s">
        <v>329</v>
      </c>
      <c r="G37" s="11" t="s">
        <v>330</v>
      </c>
      <c r="H37" s="11">
        <v>4844</v>
      </c>
      <c r="I37" s="12">
        <f t="shared" si="1"/>
        <v>9.6880000000000006</v>
      </c>
      <c r="K37" s="11" t="s">
        <v>532</v>
      </c>
      <c r="L37" s="11" t="s">
        <v>533</v>
      </c>
      <c r="M37" s="11">
        <v>7454</v>
      </c>
      <c r="N37" s="15">
        <f t="shared" si="2"/>
        <v>14.907999999999999</v>
      </c>
    </row>
    <row r="38" spans="1:14" x14ac:dyDescent="0.25">
      <c r="A38" s="11" t="s">
        <v>76</v>
      </c>
      <c r="B38" s="11" t="s">
        <v>77</v>
      </c>
      <c r="C38" s="11">
        <v>1004</v>
      </c>
      <c r="D38" s="15">
        <f t="shared" si="0"/>
        <v>2.008</v>
      </c>
      <c r="F38" s="11" t="s">
        <v>331</v>
      </c>
      <c r="G38" s="11" t="s">
        <v>332</v>
      </c>
      <c r="H38" s="11">
        <v>3025</v>
      </c>
      <c r="I38" s="12">
        <f t="shared" si="1"/>
        <v>6.05</v>
      </c>
      <c r="K38" s="11" t="s">
        <v>534</v>
      </c>
      <c r="L38" s="11" t="s">
        <v>535</v>
      </c>
      <c r="M38" s="11">
        <v>1178</v>
      </c>
      <c r="N38" s="15">
        <f t="shared" si="2"/>
        <v>2.3559999999999999</v>
      </c>
    </row>
    <row r="39" spans="1:14" x14ac:dyDescent="0.25">
      <c r="A39" s="11" t="s">
        <v>78</v>
      </c>
      <c r="B39" s="11" t="s">
        <v>79</v>
      </c>
      <c r="C39" s="11">
        <v>778</v>
      </c>
      <c r="D39" s="15">
        <f t="shared" si="0"/>
        <v>1.556</v>
      </c>
      <c r="F39" s="11" t="s">
        <v>333</v>
      </c>
      <c r="G39" s="11" t="s">
        <v>334</v>
      </c>
      <c r="H39" s="11">
        <v>1270</v>
      </c>
      <c r="I39" s="12">
        <f t="shared" si="1"/>
        <v>2.54</v>
      </c>
      <c r="K39" s="11" t="s">
        <v>536</v>
      </c>
      <c r="L39" s="11" t="s">
        <v>537</v>
      </c>
      <c r="M39" s="11">
        <v>4287</v>
      </c>
      <c r="N39" s="15">
        <f t="shared" si="2"/>
        <v>8.5739999999999998</v>
      </c>
    </row>
    <row r="40" spans="1:14" x14ac:dyDescent="0.25">
      <c r="A40" s="11" t="s">
        <v>80</v>
      </c>
      <c r="B40" s="11" t="s">
        <v>81</v>
      </c>
      <c r="C40" s="11">
        <v>91</v>
      </c>
      <c r="D40" s="15">
        <f t="shared" si="0"/>
        <v>0.182</v>
      </c>
      <c r="F40" s="11" t="s">
        <v>335</v>
      </c>
      <c r="G40" s="11" t="s">
        <v>336</v>
      </c>
      <c r="H40" s="11">
        <v>1127</v>
      </c>
      <c r="I40" s="12">
        <f t="shared" si="1"/>
        <v>2.254</v>
      </c>
      <c r="K40" s="11" t="s">
        <v>538</v>
      </c>
      <c r="L40" s="11" t="s">
        <v>539</v>
      </c>
      <c r="M40" s="11">
        <v>4347</v>
      </c>
      <c r="N40" s="15">
        <f t="shared" si="2"/>
        <v>8.6940000000000008</v>
      </c>
    </row>
    <row r="41" spans="1:14" x14ac:dyDescent="0.25">
      <c r="A41" s="11" t="s">
        <v>82</v>
      </c>
      <c r="B41" s="11" t="s">
        <v>83</v>
      </c>
      <c r="C41" s="11">
        <v>867</v>
      </c>
      <c r="D41" s="15">
        <f t="shared" si="0"/>
        <v>1.734</v>
      </c>
      <c r="F41" s="11" t="s">
        <v>337</v>
      </c>
      <c r="G41" s="11" t="s">
        <v>338</v>
      </c>
      <c r="H41" s="11">
        <v>2142</v>
      </c>
      <c r="I41" s="12">
        <f t="shared" si="1"/>
        <v>4.2839999999999998</v>
      </c>
      <c r="K41" s="11" t="s">
        <v>540</v>
      </c>
      <c r="L41" s="11" t="s">
        <v>541</v>
      </c>
      <c r="M41" s="11">
        <v>1832</v>
      </c>
      <c r="N41" s="15">
        <f t="shared" si="2"/>
        <v>3.6640000000000001</v>
      </c>
    </row>
    <row r="42" spans="1:14" x14ac:dyDescent="0.25">
      <c r="A42" s="11" t="s">
        <v>84</v>
      </c>
      <c r="B42" s="11" t="s">
        <v>85</v>
      </c>
      <c r="C42" s="11">
        <v>3635</v>
      </c>
      <c r="D42" s="15">
        <f t="shared" si="0"/>
        <v>7.27</v>
      </c>
      <c r="F42" s="11" t="s">
        <v>339</v>
      </c>
      <c r="G42" s="11" t="s">
        <v>340</v>
      </c>
      <c r="H42" s="11">
        <v>2987</v>
      </c>
      <c r="I42" s="12">
        <f t="shared" si="1"/>
        <v>5.9740000000000002</v>
      </c>
      <c r="K42" s="11" t="s">
        <v>542</v>
      </c>
      <c r="L42" s="11" t="s">
        <v>543</v>
      </c>
      <c r="M42" s="11">
        <v>2717</v>
      </c>
      <c r="N42" s="15">
        <f t="shared" si="2"/>
        <v>5.4340000000000002</v>
      </c>
    </row>
    <row r="43" spans="1:14" x14ac:dyDescent="0.25">
      <c r="A43" s="11" t="s">
        <v>86</v>
      </c>
      <c r="B43" s="11" t="s">
        <v>87</v>
      </c>
      <c r="C43" s="11">
        <v>2179</v>
      </c>
      <c r="D43" s="15">
        <f t="shared" si="0"/>
        <v>4.3579999999999997</v>
      </c>
      <c r="F43" s="11" t="s">
        <v>341</v>
      </c>
      <c r="G43" s="11" t="s">
        <v>342</v>
      </c>
      <c r="H43" s="11">
        <v>4714</v>
      </c>
      <c r="I43" s="12">
        <f t="shared" si="1"/>
        <v>9.4280000000000008</v>
      </c>
      <c r="K43" s="11" t="s">
        <v>544</v>
      </c>
      <c r="L43" s="11" t="s">
        <v>545</v>
      </c>
      <c r="M43" s="11">
        <v>12695</v>
      </c>
      <c r="N43" s="15">
        <f t="shared" si="2"/>
        <v>25.39</v>
      </c>
    </row>
    <row r="44" spans="1:14" x14ac:dyDescent="0.25">
      <c r="A44" s="11" t="s">
        <v>88</v>
      </c>
      <c r="B44" s="11" t="s">
        <v>89</v>
      </c>
      <c r="C44" s="11">
        <v>3979</v>
      </c>
      <c r="D44" s="15">
        <f t="shared" si="0"/>
        <v>7.9580000000000002</v>
      </c>
      <c r="F44" s="11" t="s">
        <v>343</v>
      </c>
      <c r="G44" s="11" t="s">
        <v>344</v>
      </c>
      <c r="H44" s="11">
        <v>6293</v>
      </c>
      <c r="I44" s="12">
        <f t="shared" si="1"/>
        <v>12.586</v>
      </c>
      <c r="K44" s="11" t="s">
        <v>546</v>
      </c>
      <c r="L44" s="11" t="s">
        <v>547</v>
      </c>
      <c r="M44" s="11">
        <v>1692</v>
      </c>
      <c r="N44" s="15">
        <f t="shared" si="2"/>
        <v>3.3839999999999999</v>
      </c>
    </row>
    <row r="45" spans="1:14" x14ac:dyDescent="0.25">
      <c r="A45" s="11" t="s">
        <v>90</v>
      </c>
      <c r="B45" s="11" t="s">
        <v>91</v>
      </c>
      <c r="C45" s="11">
        <v>1391</v>
      </c>
      <c r="D45" s="15">
        <f t="shared" si="0"/>
        <v>2.782</v>
      </c>
      <c r="F45" s="11" t="s">
        <v>345</v>
      </c>
      <c r="G45" s="11" t="s">
        <v>346</v>
      </c>
      <c r="H45" s="11">
        <v>6851</v>
      </c>
      <c r="I45" s="12">
        <f t="shared" si="1"/>
        <v>13.702</v>
      </c>
      <c r="K45" s="11" t="s">
        <v>548</v>
      </c>
      <c r="L45" s="11" t="s">
        <v>549</v>
      </c>
      <c r="M45" s="11">
        <v>3321</v>
      </c>
      <c r="N45" s="15">
        <f t="shared" si="2"/>
        <v>6.6420000000000003</v>
      </c>
    </row>
    <row r="46" spans="1:14" x14ac:dyDescent="0.25">
      <c r="A46" s="11" t="s">
        <v>92</v>
      </c>
      <c r="B46" s="11" t="s">
        <v>93</v>
      </c>
      <c r="C46" s="11">
        <v>1533</v>
      </c>
      <c r="D46" s="15">
        <f t="shared" si="0"/>
        <v>3.0659999999999998</v>
      </c>
      <c r="F46" s="11" t="s">
        <v>347</v>
      </c>
      <c r="G46" s="11" t="s">
        <v>348</v>
      </c>
      <c r="H46" s="11">
        <v>8490</v>
      </c>
      <c r="I46" s="12">
        <f t="shared" si="1"/>
        <v>16.98</v>
      </c>
      <c r="K46" s="11" t="s">
        <v>550</v>
      </c>
      <c r="L46" s="11" t="s">
        <v>551</v>
      </c>
      <c r="M46" s="11">
        <v>2218</v>
      </c>
      <c r="N46" s="15">
        <f t="shared" si="2"/>
        <v>4.4359999999999999</v>
      </c>
    </row>
    <row r="47" spans="1:14" x14ac:dyDescent="0.25">
      <c r="A47" s="11" t="s">
        <v>94</v>
      </c>
      <c r="B47" s="11" t="s">
        <v>95</v>
      </c>
      <c r="C47" s="11">
        <v>1749</v>
      </c>
      <c r="D47" s="15">
        <f t="shared" si="0"/>
        <v>3.4980000000000002</v>
      </c>
      <c r="F47" s="11" t="s">
        <v>349</v>
      </c>
      <c r="G47" s="11" t="s">
        <v>350</v>
      </c>
      <c r="H47" s="11">
        <v>10591</v>
      </c>
      <c r="I47" s="12">
        <f t="shared" si="1"/>
        <v>21.181999999999999</v>
      </c>
      <c r="K47" s="11" t="s">
        <v>552</v>
      </c>
      <c r="L47" s="11" t="s">
        <v>553</v>
      </c>
      <c r="M47" s="11">
        <v>7913</v>
      </c>
      <c r="N47" s="15">
        <f t="shared" si="2"/>
        <v>15.826000000000001</v>
      </c>
    </row>
    <row r="48" spans="1:14" x14ac:dyDescent="0.25">
      <c r="A48" s="11" t="s">
        <v>96</v>
      </c>
      <c r="B48" s="11" t="s">
        <v>97</v>
      </c>
      <c r="C48" s="11">
        <v>1900</v>
      </c>
      <c r="D48" s="15">
        <f t="shared" si="0"/>
        <v>3.8</v>
      </c>
      <c r="F48" s="11" t="s">
        <v>351</v>
      </c>
      <c r="G48" s="11" t="s">
        <v>352</v>
      </c>
      <c r="H48" s="11">
        <v>1669</v>
      </c>
      <c r="I48" s="12">
        <f t="shared" si="1"/>
        <v>3.3380000000000001</v>
      </c>
      <c r="K48" s="11" t="s">
        <v>554</v>
      </c>
      <c r="L48" s="11" t="s">
        <v>555</v>
      </c>
      <c r="M48" s="11">
        <v>8</v>
      </c>
      <c r="N48" s="15">
        <f t="shared" si="2"/>
        <v>1.6E-2</v>
      </c>
    </row>
    <row r="49" spans="1:14" x14ac:dyDescent="0.25">
      <c r="A49" s="11" t="s">
        <v>98</v>
      </c>
      <c r="B49" s="11" t="s">
        <v>99</v>
      </c>
      <c r="C49" s="11">
        <v>5443</v>
      </c>
      <c r="D49" s="15">
        <f t="shared" si="0"/>
        <v>10.885999999999999</v>
      </c>
      <c r="F49" s="11" t="s">
        <v>353</v>
      </c>
      <c r="G49" s="11" t="s">
        <v>354</v>
      </c>
      <c r="H49" s="11">
        <v>3988</v>
      </c>
      <c r="I49" s="12">
        <f t="shared" si="1"/>
        <v>7.976</v>
      </c>
      <c r="K49" s="11" t="s">
        <v>556</v>
      </c>
      <c r="L49" s="11" t="s">
        <v>557</v>
      </c>
      <c r="M49" s="11">
        <v>8996</v>
      </c>
      <c r="N49" s="15">
        <f t="shared" si="2"/>
        <v>17.992000000000001</v>
      </c>
    </row>
    <row r="50" spans="1:14" x14ac:dyDescent="0.25">
      <c r="A50" s="11" t="s">
        <v>100</v>
      </c>
      <c r="B50" s="11" t="s">
        <v>101</v>
      </c>
      <c r="C50" s="11">
        <v>539</v>
      </c>
      <c r="D50" s="15">
        <f t="shared" si="0"/>
        <v>1.0780000000000001</v>
      </c>
      <c r="F50" s="11" t="s">
        <v>355</v>
      </c>
      <c r="G50" s="11" t="s">
        <v>356</v>
      </c>
      <c r="H50" s="11">
        <v>3571</v>
      </c>
      <c r="I50" s="12">
        <f t="shared" si="1"/>
        <v>7.1420000000000003</v>
      </c>
      <c r="K50" s="11" t="s">
        <v>558</v>
      </c>
      <c r="L50" s="11" t="s">
        <v>559</v>
      </c>
      <c r="M50" s="11">
        <v>3253</v>
      </c>
      <c r="N50" s="15">
        <f t="shared" si="2"/>
        <v>6.5060000000000002</v>
      </c>
    </row>
    <row r="51" spans="1:14" x14ac:dyDescent="0.25">
      <c r="A51" s="11" t="s">
        <v>102</v>
      </c>
      <c r="B51" s="11" t="s">
        <v>103</v>
      </c>
      <c r="C51" s="11">
        <v>1350</v>
      </c>
      <c r="D51" s="15">
        <f t="shared" si="0"/>
        <v>2.7</v>
      </c>
      <c r="F51" s="11" t="s">
        <v>357</v>
      </c>
      <c r="G51" s="11" t="s">
        <v>358</v>
      </c>
      <c r="H51" s="11">
        <v>11003</v>
      </c>
      <c r="I51" s="12">
        <f t="shared" si="1"/>
        <v>22.006</v>
      </c>
      <c r="K51" s="11" t="s">
        <v>560</v>
      </c>
      <c r="L51" s="11" t="s">
        <v>561</v>
      </c>
      <c r="M51" s="11">
        <v>2492</v>
      </c>
      <c r="N51" s="15">
        <f t="shared" si="2"/>
        <v>4.984</v>
      </c>
    </row>
    <row r="52" spans="1:14" x14ac:dyDescent="0.25">
      <c r="A52" s="11" t="s">
        <v>104</v>
      </c>
      <c r="B52" s="11" t="s">
        <v>105</v>
      </c>
      <c r="C52" s="11">
        <v>1972</v>
      </c>
      <c r="D52" s="15">
        <f t="shared" si="0"/>
        <v>3.944</v>
      </c>
      <c r="F52" s="11" t="s">
        <v>359</v>
      </c>
      <c r="G52" s="11" t="s">
        <v>360</v>
      </c>
      <c r="H52" s="11">
        <v>2358</v>
      </c>
      <c r="I52" s="12">
        <f t="shared" si="1"/>
        <v>4.7160000000000002</v>
      </c>
      <c r="K52" s="11" t="s">
        <v>562</v>
      </c>
      <c r="L52" s="11" t="s">
        <v>563</v>
      </c>
      <c r="M52" s="11">
        <v>12255</v>
      </c>
      <c r="N52" s="15">
        <f t="shared" si="2"/>
        <v>24.51</v>
      </c>
    </row>
    <row r="53" spans="1:14" x14ac:dyDescent="0.25">
      <c r="A53" s="11" t="s">
        <v>106</v>
      </c>
      <c r="B53" s="11" t="s">
        <v>107</v>
      </c>
      <c r="C53" s="11">
        <v>5647</v>
      </c>
      <c r="D53" s="15">
        <f t="shared" si="0"/>
        <v>11.294</v>
      </c>
      <c r="F53" s="11" t="s">
        <v>361</v>
      </c>
      <c r="G53" s="11" t="s">
        <v>362</v>
      </c>
      <c r="H53" s="11">
        <v>23259</v>
      </c>
      <c r="I53" s="12">
        <f t="shared" si="1"/>
        <v>46.518000000000001</v>
      </c>
      <c r="K53" s="11" t="s">
        <v>564</v>
      </c>
      <c r="L53" s="11" t="s">
        <v>565</v>
      </c>
      <c r="M53" s="11">
        <v>2730</v>
      </c>
      <c r="N53" s="15">
        <f t="shared" si="2"/>
        <v>5.46</v>
      </c>
    </row>
    <row r="54" spans="1:14" x14ac:dyDescent="0.25">
      <c r="A54" s="11" t="s">
        <v>108</v>
      </c>
      <c r="B54" s="11" t="s">
        <v>109</v>
      </c>
      <c r="C54" s="11">
        <v>1589</v>
      </c>
      <c r="D54" s="15">
        <f t="shared" si="0"/>
        <v>3.1779999999999999</v>
      </c>
      <c r="F54" s="11" t="s">
        <v>361</v>
      </c>
      <c r="G54" s="11" t="s">
        <v>363</v>
      </c>
      <c r="H54" s="11">
        <v>6388</v>
      </c>
      <c r="I54" s="12">
        <f t="shared" si="1"/>
        <v>12.776</v>
      </c>
      <c r="K54" s="11" t="s">
        <v>566</v>
      </c>
      <c r="L54" s="11" t="s">
        <v>567</v>
      </c>
      <c r="M54" s="11">
        <v>8133</v>
      </c>
      <c r="N54" s="15">
        <f t="shared" si="2"/>
        <v>16.265999999999998</v>
      </c>
    </row>
    <row r="55" spans="1:14" x14ac:dyDescent="0.25">
      <c r="A55" s="11" t="s">
        <v>110</v>
      </c>
      <c r="B55" s="11" t="s">
        <v>111</v>
      </c>
      <c r="C55" s="11">
        <v>0</v>
      </c>
      <c r="D55" s="15">
        <f t="shared" si="0"/>
        <v>0</v>
      </c>
      <c r="F55" s="11" t="s">
        <v>364</v>
      </c>
      <c r="G55" s="11" t="s">
        <v>365</v>
      </c>
      <c r="H55" s="11">
        <v>4994</v>
      </c>
      <c r="I55" s="12">
        <f t="shared" si="1"/>
        <v>9.9879999999999995</v>
      </c>
      <c r="K55" s="11" t="s">
        <v>568</v>
      </c>
      <c r="L55" s="11" t="s">
        <v>569</v>
      </c>
      <c r="M55" s="11">
        <v>27928</v>
      </c>
      <c r="N55" s="15">
        <f t="shared" si="2"/>
        <v>55.856000000000002</v>
      </c>
    </row>
    <row r="56" spans="1:14" x14ac:dyDescent="0.25">
      <c r="A56" s="11" t="s">
        <v>112</v>
      </c>
      <c r="B56" s="11" t="s">
        <v>113</v>
      </c>
      <c r="C56" s="11">
        <v>0</v>
      </c>
      <c r="D56" s="15">
        <f t="shared" si="0"/>
        <v>0</v>
      </c>
      <c r="F56" s="11" t="s">
        <v>366</v>
      </c>
      <c r="G56" s="11" t="s">
        <v>367</v>
      </c>
      <c r="H56" s="11">
        <v>9165</v>
      </c>
      <c r="I56" s="12">
        <f t="shared" si="1"/>
        <v>18.329999999999998</v>
      </c>
      <c r="K56" s="11" t="s">
        <v>570</v>
      </c>
      <c r="L56" s="11" t="s">
        <v>571</v>
      </c>
      <c r="M56" s="11">
        <v>2311</v>
      </c>
      <c r="N56" s="15">
        <f t="shared" si="2"/>
        <v>4.6219999999999999</v>
      </c>
    </row>
    <row r="57" spans="1:14" x14ac:dyDescent="0.25">
      <c r="A57" s="11" t="s">
        <v>114</v>
      </c>
      <c r="B57" s="11" t="s">
        <v>115</v>
      </c>
      <c r="C57" s="11">
        <v>387</v>
      </c>
      <c r="D57" s="15">
        <f t="shared" si="0"/>
        <v>0.77400000000000002</v>
      </c>
      <c r="F57" s="11" t="s">
        <v>368</v>
      </c>
      <c r="G57" s="11" t="s">
        <v>369</v>
      </c>
      <c r="H57" s="11">
        <v>6543</v>
      </c>
      <c r="I57" s="12">
        <f t="shared" si="1"/>
        <v>13.086</v>
      </c>
      <c r="K57" s="11" t="s">
        <v>572</v>
      </c>
      <c r="L57" s="11" t="s">
        <v>573</v>
      </c>
      <c r="M57" s="11">
        <v>4465</v>
      </c>
      <c r="N57" s="15">
        <f t="shared" si="2"/>
        <v>8.93</v>
      </c>
    </row>
    <row r="58" spans="1:14" x14ac:dyDescent="0.25">
      <c r="A58" s="11" t="s">
        <v>116</v>
      </c>
      <c r="B58" s="11" t="s">
        <v>117</v>
      </c>
      <c r="C58" s="11">
        <v>1726</v>
      </c>
      <c r="D58" s="15">
        <f t="shared" si="0"/>
        <v>3.452</v>
      </c>
      <c r="F58" s="11" t="s">
        <v>370</v>
      </c>
      <c r="G58" s="11" t="s">
        <v>371</v>
      </c>
      <c r="H58" s="11">
        <v>9834</v>
      </c>
      <c r="I58" s="12">
        <f t="shared" si="1"/>
        <v>19.667999999999999</v>
      </c>
      <c r="K58" s="11" t="s">
        <v>574</v>
      </c>
      <c r="L58" s="11" t="s">
        <v>575</v>
      </c>
      <c r="M58" s="11">
        <v>8018</v>
      </c>
      <c r="N58" s="15">
        <f t="shared" si="2"/>
        <v>16.036000000000001</v>
      </c>
    </row>
    <row r="59" spans="1:14" x14ac:dyDescent="0.25">
      <c r="A59" s="11" t="s">
        <v>118</v>
      </c>
      <c r="B59" s="11" t="s">
        <v>119</v>
      </c>
      <c r="C59" s="11">
        <v>7457</v>
      </c>
      <c r="D59" s="15">
        <f t="shared" si="0"/>
        <v>14.914</v>
      </c>
      <c r="F59" s="11" t="s">
        <v>372</v>
      </c>
      <c r="G59" s="11" t="s">
        <v>373</v>
      </c>
      <c r="H59" s="11">
        <v>6313</v>
      </c>
      <c r="I59" s="12">
        <f t="shared" si="1"/>
        <v>12.625999999999999</v>
      </c>
      <c r="K59" s="11" t="s">
        <v>576</v>
      </c>
      <c r="L59" s="11" t="s">
        <v>577</v>
      </c>
      <c r="M59" s="11">
        <v>1179</v>
      </c>
      <c r="N59" s="15">
        <f t="shared" si="2"/>
        <v>2.3580000000000001</v>
      </c>
    </row>
    <row r="60" spans="1:14" x14ac:dyDescent="0.25">
      <c r="A60" s="11" t="s">
        <v>120</v>
      </c>
      <c r="B60" s="11" t="s">
        <v>121</v>
      </c>
      <c r="C60" s="11">
        <v>2083</v>
      </c>
      <c r="D60" s="15">
        <f t="shared" si="0"/>
        <v>4.1660000000000004</v>
      </c>
      <c r="F60" s="11" t="s">
        <v>374</v>
      </c>
      <c r="G60" s="11" t="s">
        <v>375</v>
      </c>
      <c r="H60" s="11">
        <v>7377</v>
      </c>
      <c r="I60" s="12">
        <f t="shared" si="1"/>
        <v>14.754</v>
      </c>
      <c r="K60" s="11" t="s">
        <v>578</v>
      </c>
      <c r="L60" s="11" t="s">
        <v>579</v>
      </c>
      <c r="M60" s="11">
        <v>3564</v>
      </c>
      <c r="N60" s="15">
        <f t="shared" si="2"/>
        <v>7.1280000000000001</v>
      </c>
    </row>
    <row r="61" spans="1:14" x14ac:dyDescent="0.25">
      <c r="A61" s="11" t="s">
        <v>122</v>
      </c>
      <c r="B61" s="11" t="s">
        <v>123</v>
      </c>
      <c r="C61" s="11">
        <v>593</v>
      </c>
      <c r="D61" s="15">
        <f t="shared" si="0"/>
        <v>1.1859999999999999</v>
      </c>
      <c r="F61" s="11" t="s">
        <v>376</v>
      </c>
      <c r="G61" s="11" t="s">
        <v>377</v>
      </c>
      <c r="H61" s="11">
        <v>0</v>
      </c>
      <c r="I61" s="12">
        <f t="shared" si="1"/>
        <v>0</v>
      </c>
      <c r="K61" s="11" t="s">
        <v>580</v>
      </c>
      <c r="L61" s="11" t="s">
        <v>581</v>
      </c>
      <c r="M61" s="11">
        <v>3456</v>
      </c>
      <c r="N61" s="15">
        <f t="shared" si="2"/>
        <v>6.9119999999999999</v>
      </c>
    </row>
    <row r="62" spans="1:14" x14ac:dyDescent="0.25">
      <c r="A62" s="11" t="s">
        <v>124</v>
      </c>
      <c r="B62" s="11" t="s">
        <v>125</v>
      </c>
      <c r="C62" s="11">
        <v>2315</v>
      </c>
      <c r="D62" s="15">
        <f t="shared" si="0"/>
        <v>4.63</v>
      </c>
      <c r="F62" s="11" t="s">
        <v>378</v>
      </c>
      <c r="G62" s="11" t="s">
        <v>379</v>
      </c>
      <c r="H62" s="11">
        <v>405</v>
      </c>
      <c r="I62" s="12">
        <f t="shared" si="1"/>
        <v>0.81</v>
      </c>
      <c r="K62" s="11" t="s">
        <v>582</v>
      </c>
      <c r="L62" s="11" t="s">
        <v>583</v>
      </c>
      <c r="M62" s="11">
        <v>1356</v>
      </c>
      <c r="N62" s="15">
        <f t="shared" si="2"/>
        <v>2.7120000000000002</v>
      </c>
    </row>
    <row r="63" spans="1:14" x14ac:dyDescent="0.25">
      <c r="A63" s="11" t="s">
        <v>126</v>
      </c>
      <c r="B63" s="11" t="s">
        <v>127</v>
      </c>
      <c r="C63" s="11">
        <v>1784</v>
      </c>
      <c r="D63" s="15">
        <f t="shared" si="0"/>
        <v>3.5680000000000001</v>
      </c>
      <c r="F63" s="11" t="s">
        <v>380</v>
      </c>
      <c r="G63" s="11" t="s">
        <v>381</v>
      </c>
      <c r="H63" s="11">
        <v>284</v>
      </c>
      <c r="I63" s="12">
        <f t="shared" si="1"/>
        <v>0.56799999999999995</v>
      </c>
      <c r="K63" s="11" t="s">
        <v>584</v>
      </c>
      <c r="L63" s="11" t="s">
        <v>585</v>
      </c>
      <c r="M63" s="11">
        <v>581</v>
      </c>
      <c r="N63" s="15">
        <f t="shared" si="2"/>
        <v>1.1619999999999999</v>
      </c>
    </row>
    <row r="64" spans="1:14" x14ac:dyDescent="0.25">
      <c r="A64" s="11" t="s">
        <v>128</v>
      </c>
      <c r="B64" s="11" t="s">
        <v>129</v>
      </c>
      <c r="C64" s="11">
        <v>551</v>
      </c>
      <c r="D64" s="15">
        <f t="shared" si="0"/>
        <v>1.1020000000000001</v>
      </c>
      <c r="F64" s="11" t="s">
        <v>382</v>
      </c>
      <c r="G64" s="11" t="s">
        <v>383</v>
      </c>
      <c r="H64" s="11">
        <v>6078</v>
      </c>
      <c r="I64" s="12">
        <f t="shared" si="1"/>
        <v>12.156000000000001</v>
      </c>
      <c r="K64" s="11" t="s">
        <v>586</v>
      </c>
      <c r="L64" s="11" t="s">
        <v>587</v>
      </c>
      <c r="M64" s="11">
        <v>17167</v>
      </c>
      <c r="N64" s="15">
        <f t="shared" si="2"/>
        <v>34.334000000000003</v>
      </c>
    </row>
    <row r="65" spans="1:14" x14ac:dyDescent="0.25">
      <c r="A65" s="11" t="s">
        <v>130</v>
      </c>
      <c r="B65" s="11" t="s">
        <v>131</v>
      </c>
      <c r="C65" s="11">
        <v>7566</v>
      </c>
      <c r="D65" s="15">
        <f t="shared" si="0"/>
        <v>15.132</v>
      </c>
      <c r="F65" s="11" t="s">
        <v>384</v>
      </c>
      <c r="G65" s="11" t="s">
        <v>385</v>
      </c>
      <c r="H65" s="11">
        <v>9855</v>
      </c>
      <c r="I65" s="12">
        <f t="shared" si="1"/>
        <v>19.71</v>
      </c>
      <c r="K65" s="11" t="s">
        <v>588</v>
      </c>
      <c r="L65" s="11" t="s">
        <v>589</v>
      </c>
      <c r="M65" s="11">
        <v>4598</v>
      </c>
      <c r="N65" s="15">
        <f t="shared" si="2"/>
        <v>9.1959999999999997</v>
      </c>
    </row>
    <row r="66" spans="1:14" x14ac:dyDescent="0.25">
      <c r="A66" s="11" t="s">
        <v>132</v>
      </c>
      <c r="B66" s="11" t="s">
        <v>133</v>
      </c>
      <c r="C66" s="11">
        <v>261</v>
      </c>
      <c r="D66" s="15">
        <f t="shared" si="0"/>
        <v>0.52200000000000002</v>
      </c>
      <c r="F66" s="11" t="s">
        <v>386</v>
      </c>
      <c r="G66" s="11" t="s">
        <v>387</v>
      </c>
      <c r="H66" s="11">
        <v>1995</v>
      </c>
      <c r="I66" s="12">
        <f t="shared" si="1"/>
        <v>3.99</v>
      </c>
      <c r="K66" s="11" t="s">
        <v>590</v>
      </c>
      <c r="L66" s="11" t="s">
        <v>591</v>
      </c>
      <c r="M66" s="11">
        <v>2830</v>
      </c>
      <c r="N66" s="15">
        <f t="shared" si="2"/>
        <v>5.66</v>
      </c>
    </row>
    <row r="67" spans="1:14" x14ac:dyDescent="0.25">
      <c r="A67" s="11" t="s">
        <v>134</v>
      </c>
      <c r="B67" s="11" t="s">
        <v>135</v>
      </c>
      <c r="C67" s="11">
        <v>0</v>
      </c>
      <c r="D67" s="15">
        <f t="shared" si="0"/>
        <v>0</v>
      </c>
      <c r="F67" s="11" t="s">
        <v>388</v>
      </c>
      <c r="G67" s="11" t="s">
        <v>389</v>
      </c>
      <c r="H67" s="11">
        <v>885</v>
      </c>
      <c r="I67" s="12">
        <f t="shared" si="1"/>
        <v>1.77</v>
      </c>
      <c r="K67" s="11" t="s">
        <v>592</v>
      </c>
      <c r="L67" s="11" t="s">
        <v>593</v>
      </c>
      <c r="M67" s="11">
        <v>3229</v>
      </c>
      <c r="N67" s="15">
        <f t="shared" si="2"/>
        <v>6.4580000000000002</v>
      </c>
    </row>
    <row r="68" spans="1:14" x14ac:dyDescent="0.25">
      <c r="A68" s="11" t="s">
        <v>136</v>
      </c>
      <c r="B68" s="11" t="s">
        <v>137</v>
      </c>
      <c r="C68" s="11">
        <v>718</v>
      </c>
      <c r="D68" s="15">
        <f t="shared" ref="D68:D131" si="3">C68/500</f>
        <v>1.4359999999999999</v>
      </c>
      <c r="F68" s="11" t="s">
        <v>390</v>
      </c>
      <c r="G68" s="11" t="s">
        <v>391</v>
      </c>
      <c r="H68" s="11">
        <v>1071</v>
      </c>
      <c r="I68" s="12">
        <f t="shared" ref="I68:I106" si="4">H68/500</f>
        <v>2.1419999999999999</v>
      </c>
      <c r="K68" s="11" t="s">
        <v>594</v>
      </c>
      <c r="L68" s="11" t="s">
        <v>595</v>
      </c>
      <c r="M68" s="11">
        <v>1207</v>
      </c>
      <c r="N68" s="15">
        <f t="shared" ref="N68:N131" si="5">M68/500</f>
        <v>2.4140000000000001</v>
      </c>
    </row>
    <row r="69" spans="1:14" x14ac:dyDescent="0.25">
      <c r="A69" s="11" t="s">
        <v>138</v>
      </c>
      <c r="B69" s="11" t="s">
        <v>139</v>
      </c>
      <c r="C69" s="11">
        <v>23</v>
      </c>
      <c r="D69" s="15">
        <f t="shared" si="3"/>
        <v>4.5999999999999999E-2</v>
      </c>
      <c r="F69" s="11" t="s">
        <v>5</v>
      </c>
      <c r="G69" s="11" t="s">
        <v>392</v>
      </c>
      <c r="H69" s="11">
        <v>3461</v>
      </c>
      <c r="I69" s="12">
        <f t="shared" si="4"/>
        <v>6.9219999999999997</v>
      </c>
      <c r="K69" s="11" t="s">
        <v>596</v>
      </c>
      <c r="L69" s="11" t="s">
        <v>597</v>
      </c>
      <c r="M69" s="11">
        <v>3635</v>
      </c>
      <c r="N69" s="15">
        <f t="shared" si="5"/>
        <v>7.27</v>
      </c>
    </row>
    <row r="70" spans="1:14" x14ac:dyDescent="0.25">
      <c r="A70" s="11" t="s">
        <v>138</v>
      </c>
      <c r="B70" s="11" t="s">
        <v>140</v>
      </c>
      <c r="C70" s="11">
        <v>2515</v>
      </c>
      <c r="D70" s="15">
        <f t="shared" si="3"/>
        <v>5.03</v>
      </c>
      <c r="F70" s="11" t="s">
        <v>393</v>
      </c>
      <c r="G70" s="11" t="s">
        <v>394</v>
      </c>
      <c r="H70" s="11">
        <v>723</v>
      </c>
      <c r="I70" s="12">
        <f t="shared" si="4"/>
        <v>1.446</v>
      </c>
      <c r="K70" s="11" t="s">
        <v>598</v>
      </c>
      <c r="L70" s="11" t="s">
        <v>599</v>
      </c>
      <c r="M70" s="11">
        <v>1935</v>
      </c>
      <c r="N70" s="15">
        <f t="shared" si="5"/>
        <v>3.87</v>
      </c>
    </row>
    <row r="71" spans="1:14" x14ac:dyDescent="0.25">
      <c r="A71" s="11" t="s">
        <v>141</v>
      </c>
      <c r="B71" s="11" t="s">
        <v>142</v>
      </c>
      <c r="C71" s="11">
        <v>0</v>
      </c>
      <c r="D71" s="15">
        <f t="shared" si="3"/>
        <v>0</v>
      </c>
      <c r="F71" s="11" t="s">
        <v>395</v>
      </c>
      <c r="G71" s="11" t="s">
        <v>396</v>
      </c>
      <c r="H71" s="11">
        <v>5553</v>
      </c>
      <c r="I71" s="12">
        <f t="shared" si="4"/>
        <v>11.106</v>
      </c>
      <c r="K71" s="11" t="s">
        <v>600</v>
      </c>
      <c r="L71" s="11" t="s">
        <v>601</v>
      </c>
      <c r="M71" s="11">
        <v>3613</v>
      </c>
      <c r="N71" s="15">
        <f t="shared" si="5"/>
        <v>7.226</v>
      </c>
    </row>
    <row r="72" spans="1:14" x14ac:dyDescent="0.25">
      <c r="A72" s="11" t="s">
        <v>143</v>
      </c>
      <c r="B72" s="11" t="s">
        <v>144</v>
      </c>
      <c r="C72" s="11">
        <v>2800</v>
      </c>
      <c r="D72" s="15">
        <f t="shared" si="3"/>
        <v>5.6</v>
      </c>
      <c r="F72" s="11" t="s">
        <v>397</v>
      </c>
      <c r="G72" s="11" t="s">
        <v>398</v>
      </c>
      <c r="H72" s="11">
        <v>5942</v>
      </c>
      <c r="I72" s="12">
        <f t="shared" si="4"/>
        <v>11.884</v>
      </c>
      <c r="K72" s="11" t="s">
        <v>602</v>
      </c>
      <c r="L72" s="11" t="s">
        <v>603</v>
      </c>
      <c r="M72" s="11">
        <v>689</v>
      </c>
      <c r="N72" s="15">
        <f t="shared" si="5"/>
        <v>1.3779999999999999</v>
      </c>
    </row>
    <row r="73" spans="1:14" x14ac:dyDescent="0.25">
      <c r="A73" s="11" t="s">
        <v>145</v>
      </c>
      <c r="B73" s="11" t="s">
        <v>146</v>
      </c>
      <c r="C73" s="11">
        <v>64</v>
      </c>
      <c r="D73" s="15">
        <f t="shared" si="3"/>
        <v>0.128</v>
      </c>
      <c r="F73" s="11" t="s">
        <v>399</v>
      </c>
      <c r="G73" s="11" t="s">
        <v>400</v>
      </c>
      <c r="H73" s="11">
        <v>10688</v>
      </c>
      <c r="I73" s="12">
        <f t="shared" si="4"/>
        <v>21.376000000000001</v>
      </c>
      <c r="K73" s="11" t="s">
        <v>604</v>
      </c>
      <c r="L73" s="11" t="s">
        <v>605</v>
      </c>
      <c r="M73" s="11">
        <v>8380</v>
      </c>
      <c r="N73" s="15">
        <f t="shared" si="5"/>
        <v>16.760000000000002</v>
      </c>
    </row>
    <row r="74" spans="1:14" x14ac:dyDescent="0.25">
      <c r="A74" s="11" t="s">
        <v>147</v>
      </c>
      <c r="B74" s="11" t="s">
        <v>148</v>
      </c>
      <c r="C74" s="11">
        <v>4129</v>
      </c>
      <c r="D74" s="15">
        <f t="shared" si="3"/>
        <v>8.2579999999999991</v>
      </c>
      <c r="F74" s="11" t="s">
        <v>401</v>
      </c>
      <c r="G74" s="11" t="s">
        <v>402</v>
      </c>
      <c r="H74" s="11">
        <v>787</v>
      </c>
      <c r="I74" s="12">
        <f t="shared" si="4"/>
        <v>1.5740000000000001</v>
      </c>
      <c r="K74" s="11" t="s">
        <v>606</v>
      </c>
      <c r="L74" s="11" t="s">
        <v>607</v>
      </c>
      <c r="M74" s="11">
        <v>790</v>
      </c>
      <c r="N74" s="15">
        <f t="shared" si="5"/>
        <v>1.58</v>
      </c>
    </row>
    <row r="75" spans="1:14" x14ac:dyDescent="0.25">
      <c r="A75" s="11" t="s">
        <v>149</v>
      </c>
      <c r="B75" s="11" t="s">
        <v>150</v>
      </c>
      <c r="C75" s="11">
        <v>2979</v>
      </c>
      <c r="D75" s="15">
        <f t="shared" si="3"/>
        <v>5.9580000000000002</v>
      </c>
      <c r="F75" s="11" t="s">
        <v>403</v>
      </c>
      <c r="G75" s="11" t="s">
        <v>404</v>
      </c>
      <c r="H75" s="11">
        <v>2774</v>
      </c>
      <c r="I75" s="12">
        <f t="shared" si="4"/>
        <v>5.548</v>
      </c>
      <c r="K75" s="11" t="s">
        <v>608</v>
      </c>
      <c r="L75" s="11" t="s">
        <v>609</v>
      </c>
      <c r="M75" s="11">
        <v>629</v>
      </c>
      <c r="N75" s="15">
        <f t="shared" si="5"/>
        <v>1.258</v>
      </c>
    </row>
    <row r="76" spans="1:14" x14ac:dyDescent="0.25">
      <c r="A76" s="11" t="s">
        <v>4</v>
      </c>
      <c r="B76" s="11" t="s">
        <v>151</v>
      </c>
      <c r="C76" s="11">
        <v>100</v>
      </c>
      <c r="D76" s="15">
        <f t="shared" si="3"/>
        <v>0.2</v>
      </c>
      <c r="F76" s="11" t="s">
        <v>405</v>
      </c>
      <c r="G76" s="11" t="s">
        <v>406</v>
      </c>
      <c r="H76" s="11">
        <v>1637</v>
      </c>
      <c r="I76" s="12">
        <f t="shared" si="4"/>
        <v>3.274</v>
      </c>
      <c r="K76" s="11" t="s">
        <v>610</v>
      </c>
      <c r="L76" s="11" t="s">
        <v>611</v>
      </c>
      <c r="M76" s="11">
        <v>899</v>
      </c>
      <c r="N76" s="15">
        <f t="shared" si="5"/>
        <v>1.798</v>
      </c>
    </row>
    <row r="77" spans="1:14" x14ac:dyDescent="0.25">
      <c r="A77" s="11" t="s">
        <v>152</v>
      </c>
      <c r="B77" s="11" t="s">
        <v>153</v>
      </c>
      <c r="C77" s="11">
        <v>14111</v>
      </c>
      <c r="D77" s="15">
        <f t="shared" si="3"/>
        <v>28.222000000000001</v>
      </c>
      <c r="F77" s="11" t="s">
        <v>407</v>
      </c>
      <c r="G77" s="11" t="s">
        <v>408</v>
      </c>
      <c r="H77" s="11">
        <v>3341</v>
      </c>
      <c r="I77" s="12">
        <f t="shared" si="4"/>
        <v>6.6820000000000004</v>
      </c>
      <c r="K77" s="11" t="s">
        <v>612</v>
      </c>
      <c r="L77" s="11" t="s">
        <v>613</v>
      </c>
      <c r="M77" s="11">
        <v>4821</v>
      </c>
      <c r="N77" s="15">
        <f t="shared" si="5"/>
        <v>9.6419999999999995</v>
      </c>
    </row>
    <row r="78" spans="1:14" x14ac:dyDescent="0.25">
      <c r="A78" s="11" t="s">
        <v>154</v>
      </c>
      <c r="B78" s="11" t="s">
        <v>155</v>
      </c>
      <c r="C78" s="11">
        <v>980</v>
      </c>
      <c r="D78" s="15">
        <f t="shared" si="3"/>
        <v>1.96</v>
      </c>
      <c r="F78" s="11" t="s">
        <v>409</v>
      </c>
      <c r="G78" s="11" t="s">
        <v>410</v>
      </c>
      <c r="H78" s="11">
        <v>2077</v>
      </c>
      <c r="I78" s="12">
        <f t="shared" si="4"/>
        <v>4.1539999999999999</v>
      </c>
      <c r="K78" s="11" t="s">
        <v>614</v>
      </c>
      <c r="L78" s="11" t="s">
        <v>615</v>
      </c>
      <c r="M78" s="11">
        <v>2858</v>
      </c>
      <c r="N78" s="15">
        <f t="shared" si="5"/>
        <v>5.7160000000000002</v>
      </c>
    </row>
    <row r="79" spans="1:14" x14ac:dyDescent="0.25">
      <c r="A79" s="11" t="s">
        <v>156</v>
      </c>
      <c r="B79" s="11" t="s">
        <v>157</v>
      </c>
      <c r="C79" s="11">
        <v>2333</v>
      </c>
      <c r="D79" s="15">
        <f t="shared" si="3"/>
        <v>4.6660000000000004</v>
      </c>
      <c r="F79" s="11" t="s">
        <v>411</v>
      </c>
      <c r="G79" s="11" t="s">
        <v>412</v>
      </c>
      <c r="H79" s="11">
        <v>2097</v>
      </c>
      <c r="I79" s="12">
        <f t="shared" si="4"/>
        <v>4.194</v>
      </c>
      <c r="K79" s="11" t="s">
        <v>616</v>
      </c>
      <c r="L79" s="11" t="s">
        <v>617</v>
      </c>
      <c r="M79" s="11">
        <v>381</v>
      </c>
      <c r="N79" s="15">
        <f t="shared" si="5"/>
        <v>0.76200000000000001</v>
      </c>
    </row>
    <row r="80" spans="1:14" x14ac:dyDescent="0.25">
      <c r="A80" s="11" t="s">
        <v>158</v>
      </c>
      <c r="B80" s="11" t="s">
        <v>159</v>
      </c>
      <c r="C80" s="11">
        <v>983</v>
      </c>
      <c r="D80" s="15">
        <f t="shared" si="3"/>
        <v>1.966</v>
      </c>
      <c r="F80" s="11" t="s">
        <v>413</v>
      </c>
      <c r="G80" s="11" t="s">
        <v>414</v>
      </c>
      <c r="H80" s="11">
        <v>2350</v>
      </c>
      <c r="I80" s="12">
        <f t="shared" si="4"/>
        <v>4.7</v>
      </c>
      <c r="K80" s="11" t="s">
        <v>618</v>
      </c>
      <c r="L80" s="11" t="s">
        <v>619</v>
      </c>
      <c r="M80" s="11">
        <v>3590</v>
      </c>
      <c r="N80" s="15">
        <f t="shared" si="5"/>
        <v>7.18</v>
      </c>
    </row>
    <row r="81" spans="1:14" x14ac:dyDescent="0.25">
      <c r="A81" s="11" t="s">
        <v>160</v>
      </c>
      <c r="B81" s="11" t="s">
        <v>161</v>
      </c>
      <c r="C81" s="11">
        <v>616</v>
      </c>
      <c r="D81" s="15">
        <f t="shared" si="3"/>
        <v>1.232</v>
      </c>
      <c r="F81" s="11" t="s">
        <v>415</v>
      </c>
      <c r="G81" s="11" t="s">
        <v>416</v>
      </c>
      <c r="H81" s="11">
        <v>359</v>
      </c>
      <c r="I81" s="12">
        <f t="shared" si="4"/>
        <v>0.71799999999999997</v>
      </c>
      <c r="K81" s="11" t="s">
        <v>620</v>
      </c>
      <c r="L81" s="11" t="s">
        <v>621</v>
      </c>
      <c r="M81" s="11">
        <v>4193</v>
      </c>
      <c r="N81" s="15">
        <f t="shared" si="5"/>
        <v>8.3859999999999992</v>
      </c>
    </row>
    <row r="82" spans="1:14" x14ac:dyDescent="0.25">
      <c r="A82" s="11" t="s">
        <v>162</v>
      </c>
      <c r="B82" s="11" t="s">
        <v>163</v>
      </c>
      <c r="C82" s="11">
        <v>2644</v>
      </c>
      <c r="D82" s="15">
        <f t="shared" si="3"/>
        <v>5.2880000000000003</v>
      </c>
      <c r="F82" s="11" t="s">
        <v>417</v>
      </c>
      <c r="G82" s="11" t="s">
        <v>418</v>
      </c>
      <c r="H82" s="11">
        <v>2706</v>
      </c>
      <c r="I82" s="12">
        <f t="shared" si="4"/>
        <v>5.4119999999999999</v>
      </c>
      <c r="K82" s="11" t="s">
        <v>622</v>
      </c>
      <c r="L82" s="11" t="s">
        <v>623</v>
      </c>
      <c r="M82" s="11">
        <v>5743</v>
      </c>
      <c r="N82" s="15">
        <f t="shared" si="5"/>
        <v>11.486000000000001</v>
      </c>
    </row>
    <row r="83" spans="1:14" x14ac:dyDescent="0.25">
      <c r="A83" s="11" t="s">
        <v>164</v>
      </c>
      <c r="B83" s="11" t="s">
        <v>165</v>
      </c>
      <c r="C83" s="11">
        <v>0</v>
      </c>
      <c r="D83" s="15">
        <f t="shared" si="3"/>
        <v>0</v>
      </c>
      <c r="F83" s="11" t="s">
        <v>419</v>
      </c>
      <c r="G83" s="11" t="s">
        <v>420</v>
      </c>
      <c r="H83" s="11">
        <v>3928</v>
      </c>
      <c r="I83" s="12">
        <f t="shared" si="4"/>
        <v>7.8559999999999999</v>
      </c>
      <c r="K83" s="11" t="s">
        <v>624</v>
      </c>
      <c r="L83" s="11" t="s">
        <v>625</v>
      </c>
      <c r="M83" s="11">
        <v>2546</v>
      </c>
      <c r="N83" s="15">
        <f t="shared" si="5"/>
        <v>5.0919999999999996</v>
      </c>
    </row>
    <row r="84" spans="1:14" x14ac:dyDescent="0.25">
      <c r="A84" s="11" t="s">
        <v>166</v>
      </c>
      <c r="B84" s="11" t="s">
        <v>167</v>
      </c>
      <c r="C84" s="11">
        <v>6776</v>
      </c>
      <c r="D84" s="15">
        <f t="shared" si="3"/>
        <v>13.552</v>
      </c>
      <c r="F84" s="11" t="s">
        <v>421</v>
      </c>
      <c r="G84" s="11" t="s">
        <v>422</v>
      </c>
      <c r="H84" s="11">
        <v>2573</v>
      </c>
      <c r="I84" s="12">
        <f t="shared" si="4"/>
        <v>5.1459999999999999</v>
      </c>
      <c r="K84" s="11" t="s">
        <v>626</v>
      </c>
      <c r="L84" s="11" t="s">
        <v>627</v>
      </c>
      <c r="M84" s="11">
        <v>8994</v>
      </c>
      <c r="N84" s="15">
        <f t="shared" si="5"/>
        <v>17.988</v>
      </c>
    </row>
    <row r="85" spans="1:14" x14ac:dyDescent="0.25">
      <c r="A85" s="11" t="s">
        <v>168</v>
      </c>
      <c r="B85" s="11" t="s">
        <v>169</v>
      </c>
      <c r="C85" s="11">
        <v>61184</v>
      </c>
      <c r="D85" s="15">
        <f t="shared" si="3"/>
        <v>122.36799999999999</v>
      </c>
      <c r="F85" s="11" t="s">
        <v>423</v>
      </c>
      <c r="G85" s="11" t="s">
        <v>424</v>
      </c>
      <c r="H85" s="11">
        <v>597</v>
      </c>
      <c r="I85" s="12">
        <f t="shared" si="4"/>
        <v>1.194</v>
      </c>
      <c r="K85" s="11" t="s">
        <v>628</v>
      </c>
      <c r="L85" s="11" t="s">
        <v>629</v>
      </c>
      <c r="M85" s="11">
        <v>2866</v>
      </c>
      <c r="N85" s="15">
        <f t="shared" si="5"/>
        <v>5.7320000000000002</v>
      </c>
    </row>
    <row r="86" spans="1:14" x14ac:dyDescent="0.25">
      <c r="A86" s="11" t="s">
        <v>170</v>
      </c>
      <c r="B86" s="11" t="s">
        <v>171</v>
      </c>
      <c r="C86" s="11">
        <v>6196</v>
      </c>
      <c r="D86" s="15">
        <f t="shared" si="3"/>
        <v>12.391999999999999</v>
      </c>
      <c r="F86" s="11" t="s">
        <v>425</v>
      </c>
      <c r="G86" s="11" t="s">
        <v>426</v>
      </c>
      <c r="H86" s="11">
        <v>426</v>
      </c>
      <c r="I86" s="12">
        <f t="shared" si="4"/>
        <v>0.85199999999999998</v>
      </c>
      <c r="K86" s="11" t="s">
        <v>630</v>
      </c>
      <c r="L86" s="11" t="s">
        <v>631</v>
      </c>
      <c r="M86" s="11">
        <v>2531</v>
      </c>
      <c r="N86" s="15">
        <f t="shared" si="5"/>
        <v>5.0620000000000003</v>
      </c>
    </row>
    <row r="87" spans="1:14" x14ac:dyDescent="0.25">
      <c r="A87" s="11" t="s">
        <v>172</v>
      </c>
      <c r="B87" s="11" t="s">
        <v>173</v>
      </c>
      <c r="C87" s="11">
        <v>5260</v>
      </c>
      <c r="D87" s="15">
        <f t="shared" si="3"/>
        <v>10.52</v>
      </c>
      <c r="F87" s="11" t="s">
        <v>427</v>
      </c>
      <c r="G87" s="11" t="s">
        <v>428</v>
      </c>
      <c r="H87" s="11">
        <v>2259</v>
      </c>
      <c r="I87" s="12">
        <f t="shared" si="4"/>
        <v>4.5179999999999998</v>
      </c>
      <c r="K87" s="11" t="s">
        <v>632</v>
      </c>
      <c r="L87" s="11" t="s">
        <v>633</v>
      </c>
      <c r="M87" s="11">
        <v>8755</v>
      </c>
      <c r="N87" s="15">
        <f t="shared" si="5"/>
        <v>17.510000000000002</v>
      </c>
    </row>
    <row r="88" spans="1:14" x14ac:dyDescent="0.25">
      <c r="A88" s="11" t="s">
        <v>174</v>
      </c>
      <c r="B88" s="11" t="s">
        <v>175</v>
      </c>
      <c r="C88" s="11">
        <v>5728</v>
      </c>
      <c r="D88" s="15">
        <f t="shared" si="3"/>
        <v>11.456</v>
      </c>
      <c r="F88" s="11" t="s">
        <v>429</v>
      </c>
      <c r="G88" s="11" t="s">
        <v>430</v>
      </c>
      <c r="H88" s="11">
        <v>3175</v>
      </c>
      <c r="I88" s="12">
        <f t="shared" si="4"/>
        <v>6.35</v>
      </c>
      <c r="K88" s="11" t="s">
        <v>634</v>
      </c>
      <c r="L88" s="11" t="s">
        <v>635</v>
      </c>
      <c r="M88" s="11">
        <v>2197</v>
      </c>
      <c r="N88" s="15">
        <f t="shared" si="5"/>
        <v>4.3940000000000001</v>
      </c>
    </row>
    <row r="89" spans="1:14" x14ac:dyDescent="0.25">
      <c r="A89" s="11" t="s">
        <v>176</v>
      </c>
      <c r="B89" s="11" t="s">
        <v>177</v>
      </c>
      <c r="C89" s="11">
        <v>8792</v>
      </c>
      <c r="D89" s="15">
        <f t="shared" si="3"/>
        <v>17.584</v>
      </c>
      <c r="F89" s="11" t="s">
        <v>431</v>
      </c>
      <c r="G89" s="11" t="s">
        <v>432</v>
      </c>
      <c r="H89" s="11">
        <v>5679</v>
      </c>
      <c r="I89" s="12">
        <f t="shared" si="4"/>
        <v>11.358000000000001</v>
      </c>
      <c r="K89" s="11" t="s">
        <v>636</v>
      </c>
      <c r="L89" s="11" t="s">
        <v>637</v>
      </c>
      <c r="M89" s="11">
        <v>532</v>
      </c>
      <c r="N89" s="15">
        <f t="shared" si="5"/>
        <v>1.0640000000000001</v>
      </c>
    </row>
    <row r="90" spans="1:14" x14ac:dyDescent="0.25">
      <c r="A90" s="11" t="s">
        <v>118</v>
      </c>
      <c r="B90" s="11" t="s">
        <v>178</v>
      </c>
      <c r="C90" s="11">
        <v>2118</v>
      </c>
      <c r="D90" s="15">
        <f t="shared" si="3"/>
        <v>4.2359999999999998</v>
      </c>
      <c r="F90" s="11" t="s">
        <v>433</v>
      </c>
      <c r="G90" s="11" t="s">
        <v>434</v>
      </c>
      <c r="H90" s="11">
        <v>2975</v>
      </c>
      <c r="I90" s="12">
        <f t="shared" si="4"/>
        <v>5.95</v>
      </c>
      <c r="K90" s="11" t="s">
        <v>638</v>
      </c>
      <c r="L90" s="11" t="s">
        <v>639</v>
      </c>
      <c r="M90" s="11">
        <v>978</v>
      </c>
      <c r="N90" s="15">
        <f t="shared" si="5"/>
        <v>1.956</v>
      </c>
    </row>
    <row r="91" spans="1:14" x14ac:dyDescent="0.25">
      <c r="A91" s="11" t="s">
        <v>179</v>
      </c>
      <c r="B91" s="11" t="s">
        <v>180</v>
      </c>
      <c r="C91" s="11">
        <v>26</v>
      </c>
      <c r="D91" s="15">
        <f t="shared" si="3"/>
        <v>5.1999999999999998E-2</v>
      </c>
      <c r="F91" s="11" t="s">
        <v>435</v>
      </c>
      <c r="G91" s="11" t="s">
        <v>436</v>
      </c>
      <c r="H91" s="11">
        <v>2275</v>
      </c>
      <c r="I91" s="12">
        <f t="shared" si="4"/>
        <v>4.55</v>
      </c>
      <c r="K91" s="11" t="s">
        <v>640</v>
      </c>
      <c r="L91" s="11" t="s">
        <v>641</v>
      </c>
      <c r="M91" s="11">
        <v>19453</v>
      </c>
      <c r="N91" s="15">
        <f t="shared" si="5"/>
        <v>38.905999999999999</v>
      </c>
    </row>
    <row r="92" spans="1:14" x14ac:dyDescent="0.25">
      <c r="A92" s="11" t="s">
        <v>181</v>
      </c>
      <c r="B92" s="11" t="s">
        <v>182</v>
      </c>
      <c r="C92" s="11">
        <v>8148</v>
      </c>
      <c r="D92" s="15">
        <f t="shared" si="3"/>
        <v>16.295999999999999</v>
      </c>
      <c r="F92" s="11" t="s">
        <v>433</v>
      </c>
      <c r="G92" s="11" t="s">
        <v>437</v>
      </c>
      <c r="H92" s="11">
        <v>3566</v>
      </c>
      <c r="I92" s="12">
        <f t="shared" si="4"/>
        <v>7.1319999999999997</v>
      </c>
      <c r="K92" s="11" t="s">
        <v>642</v>
      </c>
      <c r="L92" s="11" t="s">
        <v>643</v>
      </c>
      <c r="M92" s="11">
        <v>4239</v>
      </c>
      <c r="N92" s="15">
        <f t="shared" si="5"/>
        <v>8.4779999999999998</v>
      </c>
    </row>
    <row r="93" spans="1:14" x14ac:dyDescent="0.25">
      <c r="A93" s="11" t="s">
        <v>183</v>
      </c>
      <c r="B93" s="11" t="s">
        <v>184</v>
      </c>
      <c r="C93" s="11">
        <v>5771</v>
      </c>
      <c r="D93" s="15">
        <f t="shared" si="3"/>
        <v>11.542</v>
      </c>
      <c r="F93" s="11" t="s">
        <v>438</v>
      </c>
      <c r="G93" s="11" t="s">
        <v>439</v>
      </c>
      <c r="H93" s="11">
        <v>4502</v>
      </c>
      <c r="I93" s="12">
        <f t="shared" si="4"/>
        <v>9.0039999999999996</v>
      </c>
      <c r="K93" s="11" t="s">
        <v>644</v>
      </c>
      <c r="L93" s="11" t="s">
        <v>645</v>
      </c>
      <c r="M93" s="11">
        <v>3221</v>
      </c>
      <c r="N93" s="15">
        <f t="shared" si="5"/>
        <v>6.4420000000000002</v>
      </c>
    </row>
    <row r="94" spans="1:14" x14ac:dyDescent="0.25">
      <c r="A94" s="11" t="s">
        <v>185</v>
      </c>
      <c r="B94" s="11" t="s">
        <v>186</v>
      </c>
      <c r="C94" s="11">
        <v>3605</v>
      </c>
      <c r="D94" s="15">
        <f t="shared" si="3"/>
        <v>7.21</v>
      </c>
      <c r="F94" s="11" t="s">
        <v>440</v>
      </c>
      <c r="G94" s="11" t="s">
        <v>441</v>
      </c>
      <c r="H94" s="11">
        <v>3268</v>
      </c>
      <c r="I94" s="12">
        <f t="shared" si="4"/>
        <v>6.5359999999999996</v>
      </c>
      <c r="K94" s="11" t="s">
        <v>646</v>
      </c>
      <c r="L94" s="11" t="s">
        <v>647</v>
      </c>
      <c r="M94" s="11">
        <v>19000</v>
      </c>
      <c r="N94" s="15">
        <f t="shared" si="5"/>
        <v>38</v>
      </c>
    </row>
    <row r="95" spans="1:14" x14ac:dyDescent="0.25">
      <c r="A95" s="11" t="s">
        <v>187</v>
      </c>
      <c r="B95" s="11" t="s">
        <v>188</v>
      </c>
      <c r="C95" s="11">
        <v>507</v>
      </c>
      <c r="D95" s="15">
        <f t="shared" si="3"/>
        <v>1.014</v>
      </c>
      <c r="F95" s="11" t="s">
        <v>442</v>
      </c>
      <c r="G95" s="11" t="s">
        <v>443</v>
      </c>
      <c r="H95" s="11">
        <v>1973</v>
      </c>
      <c r="I95" s="12">
        <f t="shared" si="4"/>
        <v>3.9460000000000002</v>
      </c>
      <c r="K95" s="11" t="s">
        <v>648</v>
      </c>
      <c r="L95" s="11" t="s">
        <v>649</v>
      </c>
      <c r="M95" s="11">
        <v>6134</v>
      </c>
      <c r="N95" s="15">
        <f t="shared" si="5"/>
        <v>12.268000000000001</v>
      </c>
    </row>
    <row r="96" spans="1:14" x14ac:dyDescent="0.25">
      <c r="A96" s="11" t="s">
        <v>189</v>
      </c>
      <c r="B96" s="11" t="s">
        <v>190</v>
      </c>
      <c r="C96" s="11">
        <v>3829</v>
      </c>
      <c r="D96" s="15">
        <f t="shared" si="3"/>
        <v>7.6580000000000004</v>
      </c>
      <c r="F96" s="11" t="s">
        <v>444</v>
      </c>
      <c r="G96" s="11" t="s">
        <v>445</v>
      </c>
      <c r="H96" s="11">
        <v>275</v>
      </c>
      <c r="I96" s="12">
        <f t="shared" si="4"/>
        <v>0.55000000000000004</v>
      </c>
      <c r="K96" s="11" t="s">
        <v>650</v>
      </c>
      <c r="L96" s="11" t="s">
        <v>651</v>
      </c>
      <c r="M96" s="11">
        <v>19629</v>
      </c>
      <c r="N96" s="15">
        <f t="shared" si="5"/>
        <v>39.258000000000003</v>
      </c>
    </row>
    <row r="97" spans="1:14" x14ac:dyDescent="0.25">
      <c r="A97" s="11" t="s">
        <v>191</v>
      </c>
      <c r="B97" s="11" t="s">
        <v>192</v>
      </c>
      <c r="C97" s="11">
        <v>10007</v>
      </c>
      <c r="D97" s="15">
        <f t="shared" si="3"/>
        <v>20.013999999999999</v>
      </c>
      <c r="F97" s="11" t="s">
        <v>446</v>
      </c>
      <c r="G97" s="11" t="s">
        <v>447</v>
      </c>
      <c r="H97" s="11">
        <v>3622</v>
      </c>
      <c r="I97" s="12">
        <f t="shared" si="4"/>
        <v>7.2439999999999998</v>
      </c>
      <c r="K97" s="11" t="s">
        <v>652</v>
      </c>
      <c r="L97" s="11" t="s">
        <v>653</v>
      </c>
      <c r="M97" s="11">
        <v>2882</v>
      </c>
      <c r="N97" s="15">
        <f t="shared" si="5"/>
        <v>5.7640000000000002</v>
      </c>
    </row>
    <row r="98" spans="1:14" x14ac:dyDescent="0.25">
      <c r="A98" s="11" t="s">
        <v>193</v>
      </c>
      <c r="B98" s="11" t="s">
        <v>194</v>
      </c>
      <c r="C98" s="11">
        <v>1543</v>
      </c>
      <c r="D98" s="15">
        <f t="shared" si="3"/>
        <v>3.0859999999999999</v>
      </c>
      <c r="F98" s="11" t="s">
        <v>448</v>
      </c>
      <c r="G98" s="11" t="s">
        <v>449</v>
      </c>
      <c r="H98" s="11">
        <v>888</v>
      </c>
      <c r="I98" s="12">
        <f t="shared" si="4"/>
        <v>1.776</v>
      </c>
      <c r="K98" s="11" t="s">
        <v>654</v>
      </c>
      <c r="L98" s="11" t="s">
        <v>655</v>
      </c>
      <c r="M98" s="11">
        <v>917</v>
      </c>
      <c r="N98" s="15">
        <f t="shared" si="5"/>
        <v>1.8340000000000001</v>
      </c>
    </row>
    <row r="99" spans="1:14" x14ac:dyDescent="0.25">
      <c r="A99" s="11" t="s">
        <v>195</v>
      </c>
      <c r="B99" s="11" t="s">
        <v>196</v>
      </c>
      <c r="C99" s="11">
        <v>7358</v>
      </c>
      <c r="D99" s="15">
        <f t="shared" si="3"/>
        <v>14.715999999999999</v>
      </c>
      <c r="F99" s="11" t="s">
        <v>450</v>
      </c>
      <c r="G99" s="11" t="s">
        <v>451</v>
      </c>
      <c r="H99" s="11">
        <v>7164</v>
      </c>
      <c r="I99" s="12">
        <f t="shared" si="4"/>
        <v>14.327999999999999</v>
      </c>
      <c r="K99" s="11" t="s">
        <v>656</v>
      </c>
      <c r="L99" s="11" t="s">
        <v>657</v>
      </c>
      <c r="M99" s="11">
        <v>572</v>
      </c>
      <c r="N99" s="15">
        <f t="shared" si="5"/>
        <v>1.1439999999999999</v>
      </c>
    </row>
    <row r="100" spans="1:14" x14ac:dyDescent="0.25">
      <c r="A100" s="11" t="s">
        <v>197</v>
      </c>
      <c r="B100" s="11" t="s">
        <v>198</v>
      </c>
      <c r="C100" s="11">
        <v>4846</v>
      </c>
      <c r="D100" s="15">
        <f t="shared" si="3"/>
        <v>9.6920000000000002</v>
      </c>
      <c r="F100" s="11" t="s">
        <v>285</v>
      </c>
      <c r="G100" s="11" t="s">
        <v>452</v>
      </c>
      <c r="H100" s="11">
        <v>16014</v>
      </c>
      <c r="I100" s="12">
        <f t="shared" si="4"/>
        <v>32.027999999999999</v>
      </c>
      <c r="K100" s="11" t="s">
        <v>658</v>
      </c>
      <c r="L100" s="11" t="s">
        <v>659</v>
      </c>
      <c r="M100" s="11">
        <v>305</v>
      </c>
      <c r="N100" s="15">
        <f t="shared" si="5"/>
        <v>0.61</v>
      </c>
    </row>
    <row r="101" spans="1:14" x14ac:dyDescent="0.25">
      <c r="A101" s="11" t="s">
        <v>199</v>
      </c>
      <c r="B101" s="11" t="s">
        <v>200</v>
      </c>
      <c r="C101" s="11">
        <v>6073</v>
      </c>
      <c r="D101" s="15">
        <f t="shared" si="3"/>
        <v>12.146000000000001</v>
      </c>
      <c r="F101" s="11" t="s">
        <v>453</v>
      </c>
      <c r="G101" s="11" t="s">
        <v>454</v>
      </c>
      <c r="H101" s="11">
        <v>1822</v>
      </c>
      <c r="I101" s="12">
        <f t="shared" si="4"/>
        <v>3.6440000000000001</v>
      </c>
      <c r="K101" s="11" t="s">
        <v>660</v>
      </c>
      <c r="L101" s="11" t="s">
        <v>661</v>
      </c>
      <c r="M101" s="11">
        <v>528</v>
      </c>
      <c r="N101" s="15">
        <f t="shared" si="5"/>
        <v>1.056</v>
      </c>
    </row>
    <row r="102" spans="1:14" x14ac:dyDescent="0.25">
      <c r="A102" s="11" t="s">
        <v>201</v>
      </c>
      <c r="B102" s="11" t="s">
        <v>202</v>
      </c>
      <c r="C102" s="11">
        <v>6111</v>
      </c>
      <c r="D102" s="15">
        <f t="shared" si="3"/>
        <v>12.222</v>
      </c>
      <c r="F102" s="11" t="s">
        <v>329</v>
      </c>
      <c r="G102" s="11" t="s">
        <v>455</v>
      </c>
      <c r="H102" s="11">
        <v>6864</v>
      </c>
      <c r="I102" s="12">
        <f t="shared" si="4"/>
        <v>13.728</v>
      </c>
      <c r="K102" s="11" t="s">
        <v>662</v>
      </c>
      <c r="L102" s="11" t="s">
        <v>663</v>
      </c>
      <c r="M102" s="11">
        <v>0</v>
      </c>
      <c r="N102" s="15">
        <f t="shared" si="5"/>
        <v>0</v>
      </c>
    </row>
    <row r="103" spans="1:14" x14ac:dyDescent="0.25">
      <c r="A103" s="11" t="s">
        <v>203</v>
      </c>
      <c r="B103" s="11" t="s">
        <v>204</v>
      </c>
      <c r="C103" s="11">
        <v>1867</v>
      </c>
      <c r="D103" s="15">
        <f t="shared" si="3"/>
        <v>3.734</v>
      </c>
      <c r="F103" s="11" t="s">
        <v>345</v>
      </c>
      <c r="G103" s="11" t="s">
        <v>456</v>
      </c>
      <c r="H103" s="11">
        <v>501</v>
      </c>
      <c r="I103" s="12">
        <f t="shared" si="4"/>
        <v>1.002</v>
      </c>
      <c r="K103" s="11" t="s">
        <v>664</v>
      </c>
      <c r="L103" s="11" t="s">
        <v>169</v>
      </c>
      <c r="M103" s="11">
        <v>0</v>
      </c>
      <c r="N103" s="15">
        <f t="shared" si="5"/>
        <v>0</v>
      </c>
    </row>
    <row r="104" spans="1:14" x14ac:dyDescent="0.25">
      <c r="A104" s="11" t="s">
        <v>205</v>
      </c>
      <c r="B104" s="11" t="s">
        <v>206</v>
      </c>
      <c r="C104" s="11">
        <v>2552</v>
      </c>
      <c r="D104" s="15">
        <f t="shared" si="3"/>
        <v>5.1040000000000001</v>
      </c>
      <c r="F104" s="11" t="s">
        <v>457</v>
      </c>
      <c r="G104" s="11" t="s">
        <v>458</v>
      </c>
      <c r="H104" s="11">
        <v>7439</v>
      </c>
      <c r="I104" s="12">
        <f t="shared" si="4"/>
        <v>14.878</v>
      </c>
      <c r="K104" s="11" t="s">
        <v>665</v>
      </c>
      <c r="L104" s="11" t="s">
        <v>666</v>
      </c>
      <c r="M104" s="11">
        <v>3542</v>
      </c>
      <c r="N104" s="15">
        <f t="shared" si="5"/>
        <v>7.0839999999999996</v>
      </c>
    </row>
    <row r="105" spans="1:14" x14ac:dyDescent="0.25">
      <c r="A105" s="11" t="s">
        <v>207</v>
      </c>
      <c r="B105" s="11" t="s">
        <v>208</v>
      </c>
      <c r="C105" s="11">
        <v>2364</v>
      </c>
      <c r="D105" s="15">
        <f t="shared" si="3"/>
        <v>4.7279999999999998</v>
      </c>
      <c r="F105" s="11" t="s">
        <v>459</v>
      </c>
      <c r="G105" s="11" t="s">
        <v>460</v>
      </c>
      <c r="H105" s="11">
        <v>2216</v>
      </c>
      <c r="I105" s="12">
        <f t="shared" si="4"/>
        <v>4.4320000000000004</v>
      </c>
      <c r="K105" s="11" t="s">
        <v>667</v>
      </c>
      <c r="L105" s="11" t="s">
        <v>668</v>
      </c>
      <c r="M105" s="11">
        <v>0</v>
      </c>
      <c r="N105" s="15">
        <f t="shared" si="5"/>
        <v>0</v>
      </c>
    </row>
    <row r="106" spans="1:14" x14ac:dyDescent="0.25">
      <c r="A106" s="11" t="s">
        <v>209</v>
      </c>
      <c r="B106" s="11" t="s">
        <v>210</v>
      </c>
      <c r="C106" s="11">
        <v>2039</v>
      </c>
      <c r="D106" s="15">
        <f t="shared" si="3"/>
        <v>4.0780000000000003</v>
      </c>
      <c r="F106" s="11" t="s">
        <v>461</v>
      </c>
      <c r="G106" s="11" t="s">
        <v>462</v>
      </c>
      <c r="H106" s="11">
        <v>1325</v>
      </c>
      <c r="I106" s="12">
        <f t="shared" si="4"/>
        <v>2.65</v>
      </c>
      <c r="K106" s="11" t="s">
        <v>669</v>
      </c>
      <c r="L106" s="11" t="s">
        <v>670</v>
      </c>
      <c r="M106" s="11">
        <v>0</v>
      </c>
      <c r="N106" s="15">
        <f t="shared" si="5"/>
        <v>0</v>
      </c>
    </row>
    <row r="107" spans="1:14" x14ac:dyDescent="0.25">
      <c r="A107" s="11" t="s">
        <v>211</v>
      </c>
      <c r="B107" s="11" t="s">
        <v>212</v>
      </c>
      <c r="C107" s="11">
        <v>25180</v>
      </c>
      <c r="D107" s="15">
        <f t="shared" si="3"/>
        <v>50.36</v>
      </c>
      <c r="K107" s="11" t="s">
        <v>671</v>
      </c>
      <c r="L107" s="11" t="s">
        <v>672</v>
      </c>
      <c r="M107" s="11">
        <v>3109</v>
      </c>
      <c r="N107" s="15">
        <f t="shared" si="5"/>
        <v>6.218</v>
      </c>
    </row>
    <row r="108" spans="1:14" x14ac:dyDescent="0.25">
      <c r="A108" s="11" t="s">
        <v>213</v>
      </c>
      <c r="B108" s="11" t="s">
        <v>214</v>
      </c>
      <c r="C108" s="11">
        <v>9550</v>
      </c>
      <c r="D108" s="15">
        <f t="shared" si="3"/>
        <v>19.100000000000001</v>
      </c>
      <c r="K108" s="11" t="s">
        <v>673</v>
      </c>
      <c r="L108" s="11" t="s">
        <v>674</v>
      </c>
      <c r="M108" s="11">
        <v>306</v>
      </c>
      <c r="N108" s="15">
        <f t="shared" si="5"/>
        <v>0.61199999999999999</v>
      </c>
    </row>
    <row r="109" spans="1:14" x14ac:dyDescent="0.25">
      <c r="A109" s="11" t="s">
        <v>215</v>
      </c>
      <c r="B109" s="11" t="s">
        <v>216</v>
      </c>
      <c r="C109" s="11">
        <v>6557</v>
      </c>
      <c r="D109" s="15">
        <f t="shared" si="3"/>
        <v>13.114000000000001</v>
      </c>
      <c r="K109" s="11" t="s">
        <v>675</v>
      </c>
      <c r="L109" s="11" t="s">
        <v>676</v>
      </c>
      <c r="M109" s="11">
        <v>0</v>
      </c>
      <c r="N109" s="15">
        <f t="shared" si="5"/>
        <v>0</v>
      </c>
    </row>
    <row r="110" spans="1:14" x14ac:dyDescent="0.25">
      <c r="A110" s="11" t="s">
        <v>217</v>
      </c>
      <c r="B110" s="11" t="s">
        <v>218</v>
      </c>
      <c r="C110" s="11">
        <v>763</v>
      </c>
      <c r="D110" s="15">
        <f t="shared" si="3"/>
        <v>1.526</v>
      </c>
      <c r="K110" s="11" t="s">
        <v>677</v>
      </c>
      <c r="L110" s="11" t="s">
        <v>678</v>
      </c>
      <c r="M110" s="11">
        <v>0</v>
      </c>
      <c r="N110" s="15">
        <f t="shared" si="5"/>
        <v>0</v>
      </c>
    </row>
    <row r="111" spans="1:14" x14ac:dyDescent="0.25">
      <c r="A111" s="11" t="s">
        <v>219</v>
      </c>
      <c r="B111" s="11" t="s">
        <v>220</v>
      </c>
      <c r="C111" s="11">
        <v>504</v>
      </c>
      <c r="D111" s="15">
        <f t="shared" si="3"/>
        <v>1.008</v>
      </c>
      <c r="K111" s="11" t="s">
        <v>679</v>
      </c>
      <c r="L111" s="11" t="s">
        <v>680</v>
      </c>
      <c r="M111" s="11">
        <v>0</v>
      </c>
      <c r="N111" s="15">
        <f t="shared" si="5"/>
        <v>0</v>
      </c>
    </row>
    <row r="112" spans="1:14" x14ac:dyDescent="0.25">
      <c r="A112" s="11" t="s">
        <v>221</v>
      </c>
      <c r="B112" s="11" t="s">
        <v>222</v>
      </c>
      <c r="C112" s="11">
        <v>269</v>
      </c>
      <c r="D112" s="15">
        <f t="shared" si="3"/>
        <v>0.53800000000000003</v>
      </c>
      <c r="K112" s="11" t="s">
        <v>681</v>
      </c>
      <c r="L112" s="11" t="s">
        <v>682</v>
      </c>
      <c r="M112" s="11">
        <v>0</v>
      </c>
      <c r="N112" s="15">
        <f t="shared" si="5"/>
        <v>0</v>
      </c>
    </row>
    <row r="113" spans="1:14" x14ac:dyDescent="0.25">
      <c r="A113" s="11" t="s">
        <v>223</v>
      </c>
      <c r="B113" s="11" t="s">
        <v>224</v>
      </c>
      <c r="C113" s="11">
        <v>216</v>
      </c>
      <c r="D113" s="15">
        <f t="shared" si="3"/>
        <v>0.432</v>
      </c>
      <c r="K113" s="11" t="s">
        <v>518</v>
      </c>
      <c r="L113" s="11" t="s">
        <v>683</v>
      </c>
      <c r="M113" s="11">
        <v>7433</v>
      </c>
      <c r="N113" s="15">
        <f t="shared" si="5"/>
        <v>14.866</v>
      </c>
    </row>
    <row r="114" spans="1:14" x14ac:dyDescent="0.25">
      <c r="A114" s="11" t="s">
        <v>225</v>
      </c>
      <c r="B114" s="11" t="s">
        <v>226</v>
      </c>
      <c r="C114" s="11">
        <v>2759</v>
      </c>
      <c r="D114" s="15">
        <f t="shared" si="3"/>
        <v>5.5179999999999998</v>
      </c>
      <c r="K114" s="11" t="s">
        <v>514</v>
      </c>
      <c r="L114" s="11" t="s">
        <v>684</v>
      </c>
      <c r="M114" s="11">
        <v>3611</v>
      </c>
      <c r="N114" s="15">
        <f t="shared" si="5"/>
        <v>7.2220000000000004</v>
      </c>
    </row>
    <row r="115" spans="1:14" x14ac:dyDescent="0.25">
      <c r="A115" s="11" t="s">
        <v>227</v>
      </c>
      <c r="B115" s="11" t="s">
        <v>228</v>
      </c>
      <c r="C115" s="11">
        <v>185</v>
      </c>
      <c r="D115" s="15">
        <f t="shared" si="3"/>
        <v>0.37</v>
      </c>
      <c r="K115" s="11" t="s">
        <v>685</v>
      </c>
      <c r="L115" s="11" t="s">
        <v>686</v>
      </c>
      <c r="M115" s="11">
        <v>24869</v>
      </c>
      <c r="N115" s="15">
        <f t="shared" si="5"/>
        <v>49.738</v>
      </c>
    </row>
    <row r="116" spans="1:14" x14ac:dyDescent="0.25">
      <c r="A116" s="11" t="s">
        <v>229</v>
      </c>
      <c r="B116" s="11" t="s">
        <v>230</v>
      </c>
      <c r="C116" s="11">
        <v>197</v>
      </c>
      <c r="D116" s="15">
        <f t="shared" si="3"/>
        <v>0.39400000000000002</v>
      </c>
      <c r="K116" s="11" t="s">
        <v>687</v>
      </c>
      <c r="L116" s="11" t="s">
        <v>688</v>
      </c>
      <c r="M116" s="11">
        <v>6202</v>
      </c>
      <c r="N116" s="15">
        <f t="shared" si="5"/>
        <v>12.404</v>
      </c>
    </row>
    <row r="117" spans="1:14" x14ac:dyDescent="0.25">
      <c r="A117" s="11" t="s">
        <v>231</v>
      </c>
      <c r="B117" s="11" t="s">
        <v>232</v>
      </c>
      <c r="C117" s="11">
        <v>0</v>
      </c>
      <c r="D117" s="15">
        <f t="shared" si="3"/>
        <v>0</v>
      </c>
      <c r="K117" s="11" t="s">
        <v>689</v>
      </c>
      <c r="L117" s="11" t="s">
        <v>690</v>
      </c>
      <c r="M117" s="11">
        <v>8204</v>
      </c>
      <c r="N117" s="15">
        <f t="shared" si="5"/>
        <v>16.408000000000001</v>
      </c>
    </row>
    <row r="118" spans="1:14" x14ac:dyDescent="0.25">
      <c r="A118" s="11" t="s">
        <v>233</v>
      </c>
      <c r="B118" s="11" t="s">
        <v>234</v>
      </c>
      <c r="C118" s="11">
        <v>133</v>
      </c>
      <c r="D118" s="15">
        <f t="shared" si="3"/>
        <v>0.26600000000000001</v>
      </c>
      <c r="K118" s="11" t="s">
        <v>508</v>
      </c>
      <c r="L118" s="11" t="s">
        <v>691</v>
      </c>
      <c r="M118" s="11">
        <v>19840</v>
      </c>
      <c r="N118" s="15">
        <f t="shared" si="5"/>
        <v>39.68</v>
      </c>
    </row>
    <row r="119" spans="1:14" x14ac:dyDescent="0.25">
      <c r="A119" s="11" t="s">
        <v>235</v>
      </c>
      <c r="B119" s="11" t="s">
        <v>236</v>
      </c>
      <c r="C119" s="11">
        <v>418</v>
      </c>
      <c r="D119" s="15">
        <f t="shared" si="3"/>
        <v>0.83599999999999997</v>
      </c>
      <c r="K119" s="11" t="s">
        <v>692</v>
      </c>
      <c r="L119" s="11" t="s">
        <v>693</v>
      </c>
      <c r="M119" s="11">
        <v>35777</v>
      </c>
      <c r="N119" s="15">
        <f t="shared" si="5"/>
        <v>71.554000000000002</v>
      </c>
    </row>
    <row r="120" spans="1:14" x14ac:dyDescent="0.25">
      <c r="A120" s="11" t="s">
        <v>237</v>
      </c>
      <c r="B120" s="11" t="s">
        <v>238</v>
      </c>
      <c r="C120" s="11">
        <v>916</v>
      </c>
      <c r="D120" s="15">
        <f t="shared" si="3"/>
        <v>1.8320000000000001</v>
      </c>
      <c r="K120" s="11" t="s">
        <v>694</v>
      </c>
      <c r="L120" s="11" t="s">
        <v>695</v>
      </c>
      <c r="M120" s="11">
        <v>18711</v>
      </c>
      <c r="N120" s="15">
        <f t="shared" si="5"/>
        <v>37.421999999999997</v>
      </c>
    </row>
    <row r="121" spans="1:14" x14ac:dyDescent="0.25">
      <c r="A121" s="11" t="s">
        <v>239</v>
      </c>
      <c r="B121" s="11" t="s">
        <v>240</v>
      </c>
      <c r="C121" s="11">
        <v>646</v>
      </c>
      <c r="D121" s="15">
        <f t="shared" si="3"/>
        <v>1.292</v>
      </c>
      <c r="K121" s="11" t="s">
        <v>696</v>
      </c>
      <c r="L121" s="11" t="s">
        <v>697</v>
      </c>
      <c r="M121" s="11">
        <v>12198</v>
      </c>
      <c r="N121" s="15">
        <f t="shared" si="5"/>
        <v>24.396000000000001</v>
      </c>
    </row>
    <row r="122" spans="1:14" x14ac:dyDescent="0.25">
      <c r="A122" s="11" t="s">
        <v>241</v>
      </c>
      <c r="B122" s="11" t="s">
        <v>242</v>
      </c>
      <c r="C122" s="11">
        <v>4702</v>
      </c>
      <c r="D122" s="15">
        <f t="shared" si="3"/>
        <v>9.4039999999999999</v>
      </c>
      <c r="K122" s="11" t="s">
        <v>698</v>
      </c>
      <c r="L122" s="11" t="s">
        <v>699</v>
      </c>
      <c r="M122" s="11">
        <v>9300</v>
      </c>
      <c r="N122" s="15">
        <f t="shared" si="5"/>
        <v>18.600000000000001</v>
      </c>
    </row>
    <row r="123" spans="1:14" x14ac:dyDescent="0.25">
      <c r="A123" s="11" t="s">
        <v>243</v>
      </c>
      <c r="B123" s="11" t="s">
        <v>244</v>
      </c>
      <c r="C123" s="11">
        <v>1422</v>
      </c>
      <c r="D123" s="15">
        <f t="shared" si="3"/>
        <v>2.8439999999999999</v>
      </c>
      <c r="K123" s="11" t="s">
        <v>700</v>
      </c>
      <c r="L123" s="11" t="s">
        <v>701</v>
      </c>
      <c r="M123" s="11">
        <v>8329</v>
      </c>
      <c r="N123" s="15">
        <f t="shared" si="5"/>
        <v>16.658000000000001</v>
      </c>
    </row>
    <row r="124" spans="1:14" x14ac:dyDescent="0.25">
      <c r="A124" s="11" t="s">
        <v>245</v>
      </c>
      <c r="B124" s="11" t="s">
        <v>246</v>
      </c>
      <c r="C124" s="11">
        <v>450</v>
      </c>
      <c r="D124" s="15">
        <f t="shared" si="3"/>
        <v>0.9</v>
      </c>
      <c r="K124" s="11" t="s">
        <v>522</v>
      </c>
      <c r="L124" s="11" t="s">
        <v>702</v>
      </c>
      <c r="M124" s="11">
        <v>33709</v>
      </c>
      <c r="N124" s="15">
        <f t="shared" si="5"/>
        <v>67.418000000000006</v>
      </c>
    </row>
    <row r="125" spans="1:14" x14ac:dyDescent="0.25">
      <c r="A125" s="11" t="s">
        <v>247</v>
      </c>
      <c r="B125" s="11" t="s">
        <v>248</v>
      </c>
      <c r="C125" s="11">
        <v>0</v>
      </c>
      <c r="D125" s="15">
        <f t="shared" si="3"/>
        <v>0</v>
      </c>
      <c r="K125" s="11" t="s">
        <v>703</v>
      </c>
      <c r="L125" s="11" t="s">
        <v>704</v>
      </c>
      <c r="M125" s="11">
        <v>16118</v>
      </c>
      <c r="N125" s="15">
        <f t="shared" si="5"/>
        <v>32.235999999999997</v>
      </c>
    </row>
    <row r="126" spans="1:14" x14ac:dyDescent="0.25">
      <c r="A126" s="11" t="s">
        <v>249</v>
      </c>
      <c r="B126" s="11" t="s">
        <v>250</v>
      </c>
      <c r="C126" s="11">
        <v>2398</v>
      </c>
      <c r="D126" s="15">
        <f t="shared" si="3"/>
        <v>4.7960000000000003</v>
      </c>
      <c r="K126" s="11" t="s">
        <v>478</v>
      </c>
      <c r="L126" s="11" t="s">
        <v>705</v>
      </c>
      <c r="M126" s="11">
        <v>14713</v>
      </c>
      <c r="N126" s="15">
        <f t="shared" si="5"/>
        <v>29.425999999999998</v>
      </c>
    </row>
    <row r="127" spans="1:14" x14ac:dyDescent="0.25">
      <c r="A127" s="11" t="s">
        <v>251</v>
      </c>
      <c r="B127" s="11" t="s">
        <v>252</v>
      </c>
      <c r="C127" s="11">
        <v>6500</v>
      </c>
      <c r="D127" s="15">
        <f t="shared" si="3"/>
        <v>13</v>
      </c>
      <c r="K127" s="11" t="s">
        <v>506</v>
      </c>
      <c r="L127" s="11" t="s">
        <v>706</v>
      </c>
      <c r="M127" s="11">
        <v>17912</v>
      </c>
      <c r="N127" s="15">
        <f t="shared" si="5"/>
        <v>35.823999999999998</v>
      </c>
    </row>
    <row r="128" spans="1:14" x14ac:dyDescent="0.25">
      <c r="A128" s="11" t="s">
        <v>253</v>
      </c>
      <c r="B128" s="11" t="s">
        <v>254</v>
      </c>
      <c r="C128" s="11">
        <v>246</v>
      </c>
      <c r="D128" s="15">
        <f t="shared" si="3"/>
        <v>0.49199999999999999</v>
      </c>
      <c r="K128" s="11" t="s">
        <v>707</v>
      </c>
      <c r="L128" s="11" t="s">
        <v>708</v>
      </c>
      <c r="M128" s="11">
        <v>35794</v>
      </c>
      <c r="N128" s="15">
        <f t="shared" si="5"/>
        <v>71.587999999999994</v>
      </c>
    </row>
    <row r="129" spans="1:14" x14ac:dyDescent="0.25">
      <c r="A129" s="11" t="s">
        <v>255</v>
      </c>
      <c r="B129" s="11" t="s">
        <v>256</v>
      </c>
      <c r="C129" s="11">
        <v>2082</v>
      </c>
      <c r="D129" s="15">
        <f t="shared" si="3"/>
        <v>4.1639999999999997</v>
      </c>
      <c r="K129" s="11" t="s">
        <v>709</v>
      </c>
      <c r="L129" s="11" t="s">
        <v>710</v>
      </c>
      <c r="M129" s="11">
        <v>34650</v>
      </c>
      <c r="N129" s="15">
        <f t="shared" si="5"/>
        <v>69.3</v>
      </c>
    </row>
    <row r="130" spans="1:14" x14ac:dyDescent="0.25">
      <c r="A130" s="11" t="s">
        <v>257</v>
      </c>
      <c r="B130" s="11" t="s">
        <v>258</v>
      </c>
      <c r="C130" s="11">
        <v>2355</v>
      </c>
      <c r="D130" s="15">
        <f t="shared" si="3"/>
        <v>4.71</v>
      </c>
      <c r="K130" s="11" t="s">
        <v>711</v>
      </c>
      <c r="L130" s="11" t="s">
        <v>712</v>
      </c>
      <c r="M130" s="11">
        <v>13146</v>
      </c>
      <c r="N130" s="15">
        <f t="shared" si="5"/>
        <v>26.292000000000002</v>
      </c>
    </row>
    <row r="131" spans="1:14" x14ac:dyDescent="0.25">
      <c r="A131" s="11" t="s">
        <v>259</v>
      </c>
      <c r="B131" s="11" t="s">
        <v>260</v>
      </c>
      <c r="C131" s="11">
        <v>1535</v>
      </c>
      <c r="D131" s="15">
        <f t="shared" si="3"/>
        <v>3.07</v>
      </c>
      <c r="K131" s="11" t="s">
        <v>713</v>
      </c>
      <c r="L131" s="11" t="s">
        <v>714</v>
      </c>
      <c r="M131" s="11">
        <v>21830</v>
      </c>
      <c r="N131" s="15">
        <f t="shared" si="5"/>
        <v>43.66</v>
      </c>
    </row>
    <row r="132" spans="1:14" x14ac:dyDescent="0.25">
      <c r="K132" s="11" t="s">
        <v>472</v>
      </c>
      <c r="L132" s="11" t="s">
        <v>715</v>
      </c>
      <c r="M132" s="11">
        <v>22800</v>
      </c>
      <c r="N132" s="15">
        <f t="shared" ref="N132:N162" si="6">M132/500</f>
        <v>45.6</v>
      </c>
    </row>
    <row r="133" spans="1:14" x14ac:dyDescent="0.25">
      <c r="K133" s="11" t="s">
        <v>716</v>
      </c>
      <c r="L133" s="11" t="s">
        <v>717</v>
      </c>
      <c r="M133" s="11">
        <v>12590</v>
      </c>
      <c r="N133" s="15">
        <f t="shared" si="6"/>
        <v>25.18</v>
      </c>
    </row>
    <row r="134" spans="1:14" x14ac:dyDescent="0.25">
      <c r="K134" s="11" t="s">
        <v>718</v>
      </c>
      <c r="L134" s="11" t="s">
        <v>719</v>
      </c>
      <c r="M134" s="11">
        <v>777</v>
      </c>
      <c r="N134" s="15">
        <f t="shared" si="6"/>
        <v>1.554</v>
      </c>
    </row>
    <row r="135" spans="1:14" x14ac:dyDescent="0.25">
      <c r="K135" s="11" t="s">
        <v>720</v>
      </c>
      <c r="L135" s="11" t="s">
        <v>721</v>
      </c>
      <c r="M135" s="11">
        <v>1360</v>
      </c>
      <c r="N135" s="15">
        <f t="shared" si="6"/>
        <v>2.72</v>
      </c>
    </row>
    <row r="136" spans="1:14" x14ac:dyDescent="0.25">
      <c r="K136" s="11" t="s">
        <v>486</v>
      </c>
      <c r="L136" s="11" t="s">
        <v>722</v>
      </c>
      <c r="M136" s="11">
        <v>36294</v>
      </c>
      <c r="N136" s="15">
        <f t="shared" si="6"/>
        <v>72.587999999999994</v>
      </c>
    </row>
    <row r="137" spans="1:14" x14ac:dyDescent="0.25">
      <c r="K137" s="11" t="s">
        <v>723</v>
      </c>
      <c r="L137" s="11" t="s">
        <v>724</v>
      </c>
      <c r="M137" s="11">
        <v>39030</v>
      </c>
      <c r="N137" s="15">
        <f t="shared" si="6"/>
        <v>78.06</v>
      </c>
    </row>
    <row r="138" spans="1:14" x14ac:dyDescent="0.25">
      <c r="K138" s="11" t="s">
        <v>725</v>
      </c>
      <c r="L138" s="11" t="s">
        <v>726</v>
      </c>
      <c r="M138" s="11">
        <v>9302</v>
      </c>
      <c r="N138" s="15">
        <f t="shared" si="6"/>
        <v>18.603999999999999</v>
      </c>
    </row>
    <row r="139" spans="1:14" x14ac:dyDescent="0.25">
      <c r="K139" s="11" t="s">
        <v>727</v>
      </c>
      <c r="L139" s="11" t="s">
        <v>728</v>
      </c>
      <c r="M139" s="11">
        <v>37361</v>
      </c>
      <c r="N139" s="15">
        <f t="shared" si="6"/>
        <v>74.721999999999994</v>
      </c>
    </row>
    <row r="140" spans="1:14" x14ac:dyDescent="0.25">
      <c r="K140" s="11" t="s">
        <v>729</v>
      </c>
      <c r="L140" s="11" t="s">
        <v>730</v>
      </c>
      <c r="M140" s="11">
        <v>0</v>
      </c>
      <c r="N140" s="15">
        <f t="shared" si="6"/>
        <v>0</v>
      </c>
    </row>
    <row r="141" spans="1:14" x14ac:dyDescent="0.25">
      <c r="K141" s="11" t="s">
        <v>731</v>
      </c>
      <c r="L141" s="11" t="s">
        <v>732</v>
      </c>
      <c r="M141" s="11">
        <v>133596</v>
      </c>
      <c r="N141" s="15">
        <f t="shared" si="6"/>
        <v>267.19200000000001</v>
      </c>
    </row>
    <row r="142" spans="1:14" x14ac:dyDescent="0.25">
      <c r="K142" s="11" t="s">
        <v>733</v>
      </c>
      <c r="L142" s="11" t="s">
        <v>734</v>
      </c>
      <c r="M142" s="11">
        <v>0</v>
      </c>
      <c r="N142" s="15">
        <f t="shared" si="6"/>
        <v>0</v>
      </c>
    </row>
    <row r="143" spans="1:14" x14ac:dyDescent="0.25">
      <c r="K143" s="11" t="s">
        <v>735</v>
      </c>
      <c r="L143" s="11" t="s">
        <v>736</v>
      </c>
      <c r="M143" s="11">
        <v>1833</v>
      </c>
      <c r="N143" s="15">
        <f t="shared" si="6"/>
        <v>3.6659999999999999</v>
      </c>
    </row>
    <row r="144" spans="1:14" x14ac:dyDescent="0.25">
      <c r="K144" s="11" t="s">
        <v>737</v>
      </c>
      <c r="L144" s="11" t="s">
        <v>738</v>
      </c>
      <c r="M144" s="11">
        <v>1295</v>
      </c>
      <c r="N144" s="15">
        <f t="shared" si="6"/>
        <v>2.59</v>
      </c>
    </row>
    <row r="145" spans="11:14" x14ac:dyDescent="0.25">
      <c r="K145" s="11" t="s">
        <v>739</v>
      </c>
      <c r="L145" s="11" t="s">
        <v>740</v>
      </c>
      <c r="M145" s="11">
        <v>9677</v>
      </c>
      <c r="N145" s="15">
        <f t="shared" si="6"/>
        <v>19.353999999999999</v>
      </c>
    </row>
    <row r="146" spans="11:14" x14ac:dyDescent="0.25">
      <c r="K146" s="11" t="s">
        <v>687</v>
      </c>
      <c r="L146" s="11" t="s">
        <v>741</v>
      </c>
      <c r="M146" s="11">
        <v>0</v>
      </c>
      <c r="N146" s="15">
        <f t="shared" si="6"/>
        <v>0</v>
      </c>
    </row>
    <row r="147" spans="11:14" x14ac:dyDescent="0.25">
      <c r="K147" s="11" t="s">
        <v>742</v>
      </c>
      <c r="L147" s="11" t="s">
        <v>743</v>
      </c>
      <c r="M147" s="11">
        <v>1220</v>
      </c>
      <c r="N147" s="15">
        <f t="shared" si="6"/>
        <v>2.44</v>
      </c>
    </row>
    <row r="148" spans="11:14" x14ac:dyDescent="0.25">
      <c r="K148" s="11" t="s">
        <v>744</v>
      </c>
      <c r="L148" s="11" t="s">
        <v>745</v>
      </c>
      <c r="M148" s="11">
        <v>1033</v>
      </c>
      <c r="N148" s="15">
        <f t="shared" si="6"/>
        <v>2.0659999999999998</v>
      </c>
    </row>
    <row r="149" spans="11:14" x14ac:dyDescent="0.25">
      <c r="K149" s="11" t="s">
        <v>746</v>
      </c>
      <c r="L149" s="11" t="s">
        <v>747</v>
      </c>
      <c r="M149" s="11">
        <v>4923</v>
      </c>
      <c r="N149" s="15">
        <f t="shared" si="6"/>
        <v>9.8460000000000001</v>
      </c>
    </row>
    <row r="150" spans="11:14" x14ac:dyDescent="0.25">
      <c r="K150" s="11" t="s">
        <v>748</v>
      </c>
      <c r="L150" s="11" t="s">
        <v>749</v>
      </c>
      <c r="M150" s="11">
        <v>965</v>
      </c>
      <c r="N150" s="15">
        <f t="shared" si="6"/>
        <v>1.93</v>
      </c>
    </row>
    <row r="151" spans="11:14" x14ac:dyDescent="0.25">
      <c r="K151" s="11" t="s">
        <v>552</v>
      </c>
      <c r="L151" s="11" t="s">
        <v>750</v>
      </c>
      <c r="M151" s="11">
        <v>31745</v>
      </c>
      <c r="N151" s="15">
        <f t="shared" si="6"/>
        <v>63.49</v>
      </c>
    </row>
    <row r="152" spans="11:14" x14ac:dyDescent="0.25">
      <c r="K152" s="11" t="s">
        <v>751</v>
      </c>
      <c r="L152" s="11" t="s">
        <v>752</v>
      </c>
      <c r="M152" s="11">
        <v>5566</v>
      </c>
      <c r="N152" s="15">
        <f t="shared" si="6"/>
        <v>11.132</v>
      </c>
    </row>
    <row r="153" spans="11:14" x14ac:dyDescent="0.25">
      <c r="K153" s="11" t="s">
        <v>753</v>
      </c>
      <c r="L153" s="11" t="s">
        <v>754</v>
      </c>
      <c r="M153" s="11">
        <v>0</v>
      </c>
      <c r="N153" s="15">
        <f t="shared" si="6"/>
        <v>0</v>
      </c>
    </row>
    <row r="154" spans="11:14" x14ac:dyDescent="0.25">
      <c r="K154" s="11" t="s">
        <v>755</v>
      </c>
      <c r="L154" s="11" t="s">
        <v>756</v>
      </c>
      <c r="M154" s="11">
        <v>1233</v>
      </c>
      <c r="N154" s="15">
        <f t="shared" si="6"/>
        <v>2.4660000000000002</v>
      </c>
    </row>
    <row r="155" spans="11:14" x14ac:dyDescent="0.25">
      <c r="K155" s="11" t="s">
        <v>757</v>
      </c>
      <c r="L155" s="11" t="s">
        <v>758</v>
      </c>
      <c r="M155" s="11">
        <v>3543</v>
      </c>
      <c r="N155" s="15">
        <f t="shared" si="6"/>
        <v>7.0860000000000003</v>
      </c>
    </row>
    <row r="156" spans="11:14" x14ac:dyDescent="0.25">
      <c r="K156" s="11" t="s">
        <v>759</v>
      </c>
      <c r="L156" s="11" t="s">
        <v>760</v>
      </c>
      <c r="M156" s="11">
        <v>696</v>
      </c>
      <c r="N156" s="15">
        <f t="shared" si="6"/>
        <v>1.3919999999999999</v>
      </c>
    </row>
    <row r="157" spans="11:14" x14ac:dyDescent="0.25">
      <c r="K157" s="11" t="s">
        <v>761</v>
      </c>
      <c r="L157" s="11" t="s">
        <v>762</v>
      </c>
      <c r="M157" s="11">
        <v>1958</v>
      </c>
      <c r="N157" s="15">
        <f t="shared" si="6"/>
        <v>3.9159999999999999</v>
      </c>
    </row>
    <row r="158" spans="11:14" x14ac:dyDescent="0.25">
      <c r="K158" s="11" t="s">
        <v>763</v>
      </c>
      <c r="L158" s="11" t="s">
        <v>764</v>
      </c>
      <c r="M158" s="11">
        <v>5990</v>
      </c>
      <c r="N158" s="15">
        <f t="shared" si="6"/>
        <v>11.98</v>
      </c>
    </row>
    <row r="159" spans="11:14" x14ac:dyDescent="0.25">
      <c r="K159" s="11" t="s">
        <v>765</v>
      </c>
      <c r="L159" s="11" t="s">
        <v>766</v>
      </c>
      <c r="M159" s="11">
        <v>6939</v>
      </c>
      <c r="N159" s="15">
        <f t="shared" si="6"/>
        <v>13.878</v>
      </c>
    </row>
    <row r="160" spans="11:14" x14ac:dyDescent="0.25">
      <c r="K160" s="11" t="s">
        <v>767</v>
      </c>
      <c r="L160" s="11" t="s">
        <v>768</v>
      </c>
      <c r="M160" s="11">
        <v>2762</v>
      </c>
      <c r="N160" s="15">
        <f t="shared" si="6"/>
        <v>5.524</v>
      </c>
    </row>
    <row r="161" spans="11:14" x14ac:dyDescent="0.25">
      <c r="K161" s="11" t="s">
        <v>769</v>
      </c>
      <c r="L161" s="11" t="s">
        <v>770</v>
      </c>
      <c r="M161" s="11">
        <v>85709</v>
      </c>
      <c r="N161" s="15">
        <f t="shared" si="6"/>
        <v>171.41800000000001</v>
      </c>
    </row>
    <row r="162" spans="11:14" x14ac:dyDescent="0.25">
      <c r="K162" s="11" t="s">
        <v>771</v>
      </c>
      <c r="L162" s="11" t="s">
        <v>772</v>
      </c>
      <c r="M162" s="11">
        <v>6459</v>
      </c>
      <c r="N162" s="15">
        <f t="shared" si="6"/>
        <v>12.917999999999999</v>
      </c>
    </row>
  </sheetData>
  <mergeCells count="3">
    <mergeCell ref="A1:D1"/>
    <mergeCell ref="F1:I1"/>
    <mergeCell ref="K1:N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A966-FD91-40E0-ABB9-5CDFD7BE43AF}">
  <dimension ref="A1:N163"/>
  <sheetViews>
    <sheetView showGridLines="0" workbookViewId="0">
      <selection activeCell="T17" sqref="T17"/>
    </sheetView>
  </sheetViews>
  <sheetFormatPr defaultRowHeight="15" x14ac:dyDescent="0.25"/>
  <cols>
    <col min="1" max="1" width="45" bestFit="1" customWidth="1"/>
    <col min="2" max="2" width="14.28515625" bestFit="1" customWidth="1"/>
    <col min="3" max="4" width="9.140625" style="13"/>
    <col min="5" max="5" width="3.28515625" customWidth="1"/>
    <col min="6" max="6" width="52.28515625" bestFit="1" customWidth="1"/>
    <col min="7" max="7" width="13.7109375" bestFit="1" customWidth="1"/>
    <col min="8" max="9" width="9.140625" style="13"/>
    <col min="10" max="10" width="3.42578125" customWidth="1"/>
    <col min="11" max="11" width="56.42578125" bestFit="1" customWidth="1"/>
    <col min="12" max="12" width="13.85546875" bestFit="1" customWidth="1"/>
    <col min="13" max="14" width="9.140625" style="13"/>
    <col min="15" max="15" width="3.28515625" customWidth="1"/>
  </cols>
  <sheetData>
    <row r="1" spans="1:14" ht="16.5" thickBot="1" x14ac:dyDescent="0.3">
      <c r="A1" s="1" t="s">
        <v>0</v>
      </c>
      <c r="B1" s="2"/>
      <c r="C1" s="2"/>
      <c r="D1" s="3"/>
      <c r="F1" s="4" t="s">
        <v>1</v>
      </c>
      <c r="G1" s="5"/>
      <c r="H1" s="5"/>
      <c r="I1" s="6"/>
      <c r="K1" s="4" t="s">
        <v>463</v>
      </c>
      <c r="L1" s="5"/>
      <c r="M1" s="5"/>
      <c r="N1" s="6"/>
    </row>
    <row r="2" spans="1:14" ht="15.75" thickBot="1" x14ac:dyDescent="0.3">
      <c r="C2" s="7" t="s">
        <v>2</v>
      </c>
      <c r="D2" s="8" t="s">
        <v>3</v>
      </c>
      <c r="H2" s="9" t="s">
        <v>2</v>
      </c>
      <c r="I2" s="9" t="s">
        <v>3</v>
      </c>
      <c r="M2" s="9" t="s">
        <v>2</v>
      </c>
      <c r="N2" s="9" t="s">
        <v>3</v>
      </c>
    </row>
    <row r="3" spans="1:14" x14ac:dyDescent="0.25">
      <c r="A3" s="11" t="s">
        <v>6</v>
      </c>
      <c r="B3" s="11" t="s">
        <v>7</v>
      </c>
      <c r="C3" s="11">
        <v>872</v>
      </c>
      <c r="D3" s="14">
        <f>C3/500</f>
        <v>1.744</v>
      </c>
      <c r="F3" s="11" t="s">
        <v>261</v>
      </c>
      <c r="G3" s="11" t="s">
        <v>262</v>
      </c>
      <c r="H3" s="11">
        <v>5273</v>
      </c>
      <c r="I3" s="10">
        <f>H3/500</f>
        <v>10.545999999999999</v>
      </c>
      <c r="K3" s="11" t="s">
        <v>464</v>
      </c>
      <c r="L3" s="11" t="s">
        <v>465</v>
      </c>
      <c r="M3" s="11">
        <v>2087</v>
      </c>
      <c r="N3" s="14">
        <f>M3/500</f>
        <v>4.1740000000000004</v>
      </c>
    </row>
    <row r="4" spans="1:14" x14ac:dyDescent="0.25">
      <c r="A4" s="11" t="s">
        <v>8</v>
      </c>
      <c r="B4" s="11" t="s">
        <v>9</v>
      </c>
      <c r="C4" s="11">
        <v>440</v>
      </c>
      <c r="D4" s="15">
        <f t="shared" ref="D4:D67" si="0">C4/500</f>
        <v>0.88</v>
      </c>
      <c r="F4" s="11" t="s">
        <v>263</v>
      </c>
      <c r="G4" s="11" t="s">
        <v>264</v>
      </c>
      <c r="H4" s="11">
        <v>4951</v>
      </c>
      <c r="I4" s="12">
        <f t="shared" ref="I4:I67" si="1">H4/500</f>
        <v>9.9019999999999992</v>
      </c>
      <c r="K4" s="11" t="s">
        <v>466</v>
      </c>
      <c r="L4" s="11" t="s">
        <v>467</v>
      </c>
      <c r="M4" s="11">
        <v>1017</v>
      </c>
      <c r="N4" s="15">
        <f t="shared" ref="N4:N67" si="2">M4/500</f>
        <v>2.0339999999999998</v>
      </c>
    </row>
    <row r="5" spans="1:14" x14ac:dyDescent="0.25">
      <c r="A5" s="11" t="s">
        <v>10</v>
      </c>
      <c r="B5" s="11" t="s">
        <v>11</v>
      </c>
      <c r="C5" s="11">
        <v>766</v>
      </c>
      <c r="D5" s="15">
        <f t="shared" si="0"/>
        <v>1.532</v>
      </c>
      <c r="F5" s="11" t="s">
        <v>265</v>
      </c>
      <c r="G5" s="11" t="s">
        <v>266</v>
      </c>
      <c r="H5" s="11">
        <v>2638</v>
      </c>
      <c r="I5" s="12">
        <f t="shared" si="1"/>
        <v>5.2759999999999998</v>
      </c>
      <c r="K5" s="11" t="s">
        <v>468</v>
      </c>
      <c r="L5" s="11" t="s">
        <v>469</v>
      </c>
      <c r="M5" s="11">
        <v>1971</v>
      </c>
      <c r="N5" s="15">
        <f t="shared" si="2"/>
        <v>3.9420000000000002</v>
      </c>
    </row>
    <row r="6" spans="1:14" x14ac:dyDescent="0.25">
      <c r="A6" s="11" t="s">
        <v>12</v>
      </c>
      <c r="B6" s="11" t="s">
        <v>13</v>
      </c>
      <c r="C6" s="11">
        <v>1066</v>
      </c>
      <c r="D6" s="15">
        <f t="shared" si="0"/>
        <v>2.1320000000000001</v>
      </c>
      <c r="F6" s="11" t="s">
        <v>267</v>
      </c>
      <c r="G6" s="11" t="s">
        <v>268</v>
      </c>
      <c r="H6" s="11">
        <v>0</v>
      </c>
      <c r="I6" s="12">
        <f t="shared" si="1"/>
        <v>0</v>
      </c>
      <c r="K6" s="11" t="s">
        <v>470</v>
      </c>
      <c r="L6" s="11" t="s">
        <v>471</v>
      </c>
      <c r="M6" s="11">
        <v>2502</v>
      </c>
      <c r="N6" s="15">
        <f t="shared" si="2"/>
        <v>5.0039999999999996</v>
      </c>
    </row>
    <row r="7" spans="1:14" x14ac:dyDescent="0.25">
      <c r="A7" s="11" t="s">
        <v>14</v>
      </c>
      <c r="B7" s="11" t="s">
        <v>15</v>
      </c>
      <c r="C7" s="11">
        <v>63</v>
      </c>
      <c r="D7" s="15">
        <f t="shared" si="0"/>
        <v>0.126</v>
      </c>
      <c r="F7" s="11" t="s">
        <v>269</v>
      </c>
      <c r="G7" s="11" t="s">
        <v>270</v>
      </c>
      <c r="H7" s="11">
        <v>0</v>
      </c>
      <c r="I7" s="12">
        <f t="shared" si="1"/>
        <v>0</v>
      </c>
      <c r="K7" s="11" t="s">
        <v>472</v>
      </c>
      <c r="L7" s="11" t="s">
        <v>473</v>
      </c>
      <c r="M7" s="11">
        <v>5170</v>
      </c>
      <c r="N7" s="15">
        <f t="shared" si="2"/>
        <v>10.34</v>
      </c>
    </row>
    <row r="8" spans="1:14" x14ac:dyDescent="0.25">
      <c r="A8" s="11" t="s">
        <v>16</v>
      </c>
      <c r="B8" s="11" t="s">
        <v>17</v>
      </c>
      <c r="C8" s="11">
        <v>1211</v>
      </c>
      <c r="D8" s="15">
        <f t="shared" si="0"/>
        <v>2.4220000000000002</v>
      </c>
      <c r="F8" s="11" t="s">
        <v>271</v>
      </c>
      <c r="G8" s="11" t="s">
        <v>272</v>
      </c>
      <c r="H8" s="11">
        <v>1126</v>
      </c>
      <c r="I8" s="12">
        <f t="shared" si="1"/>
        <v>2.2519999999999998</v>
      </c>
      <c r="K8" s="11" t="s">
        <v>474</v>
      </c>
      <c r="L8" s="11" t="s">
        <v>475</v>
      </c>
      <c r="M8" s="11">
        <v>1827</v>
      </c>
      <c r="N8" s="15">
        <f t="shared" si="2"/>
        <v>3.6539999999999999</v>
      </c>
    </row>
    <row r="9" spans="1:14" x14ac:dyDescent="0.25">
      <c r="A9" s="11" t="s">
        <v>18</v>
      </c>
      <c r="B9" s="11" t="s">
        <v>19</v>
      </c>
      <c r="C9" s="11">
        <v>721</v>
      </c>
      <c r="D9" s="15">
        <f t="shared" si="0"/>
        <v>1.4419999999999999</v>
      </c>
      <c r="F9" s="11" t="s">
        <v>273</v>
      </c>
      <c r="G9" s="11" t="s">
        <v>274</v>
      </c>
      <c r="H9" s="11">
        <v>0</v>
      </c>
      <c r="I9" s="12">
        <f t="shared" si="1"/>
        <v>0</v>
      </c>
      <c r="K9" s="11" t="s">
        <v>476</v>
      </c>
      <c r="L9" s="11" t="s">
        <v>477</v>
      </c>
      <c r="M9" s="11">
        <v>1287</v>
      </c>
      <c r="N9" s="15">
        <f t="shared" si="2"/>
        <v>2.5739999999999998</v>
      </c>
    </row>
    <row r="10" spans="1:14" x14ac:dyDescent="0.25">
      <c r="A10" s="11" t="s">
        <v>20</v>
      </c>
      <c r="B10" s="11" t="s">
        <v>21</v>
      </c>
      <c r="C10" s="11">
        <v>3046</v>
      </c>
      <c r="D10" s="15">
        <f t="shared" si="0"/>
        <v>6.0919999999999996</v>
      </c>
      <c r="F10" s="11" t="s">
        <v>275</v>
      </c>
      <c r="G10" s="11" t="s">
        <v>276</v>
      </c>
      <c r="H10" s="11">
        <v>7208</v>
      </c>
      <c r="I10" s="12">
        <f t="shared" si="1"/>
        <v>14.416</v>
      </c>
      <c r="K10" s="11" t="s">
        <v>478</v>
      </c>
      <c r="L10" s="11" t="s">
        <v>479</v>
      </c>
      <c r="M10" s="11">
        <v>31682</v>
      </c>
      <c r="N10" s="15">
        <f t="shared" si="2"/>
        <v>63.363999999999997</v>
      </c>
    </row>
    <row r="11" spans="1:14" x14ac:dyDescent="0.25">
      <c r="A11" s="11" t="s">
        <v>22</v>
      </c>
      <c r="B11" s="11" t="s">
        <v>23</v>
      </c>
      <c r="C11" s="11">
        <v>322</v>
      </c>
      <c r="D11" s="15">
        <f t="shared" si="0"/>
        <v>0.64400000000000002</v>
      </c>
      <c r="F11" s="11" t="s">
        <v>277</v>
      </c>
      <c r="G11" s="11" t="s">
        <v>278</v>
      </c>
      <c r="H11" s="11">
        <v>589</v>
      </c>
      <c r="I11" s="12">
        <f t="shared" si="1"/>
        <v>1.1779999999999999</v>
      </c>
      <c r="K11" s="11" t="s">
        <v>480</v>
      </c>
      <c r="L11" s="11" t="s">
        <v>481</v>
      </c>
      <c r="M11" s="11">
        <v>701</v>
      </c>
      <c r="N11" s="15">
        <f t="shared" si="2"/>
        <v>1.4019999999999999</v>
      </c>
    </row>
    <row r="12" spans="1:14" x14ac:dyDescent="0.25">
      <c r="A12" s="11" t="s">
        <v>24</v>
      </c>
      <c r="B12" s="11" t="s">
        <v>25</v>
      </c>
      <c r="C12" s="11">
        <v>1705</v>
      </c>
      <c r="D12" s="15">
        <f t="shared" si="0"/>
        <v>3.41</v>
      </c>
      <c r="F12" s="11" t="s">
        <v>279</v>
      </c>
      <c r="G12" s="11" t="s">
        <v>280</v>
      </c>
      <c r="H12" s="11">
        <v>816</v>
      </c>
      <c r="I12" s="12">
        <f t="shared" si="1"/>
        <v>1.6319999999999999</v>
      </c>
      <c r="K12" s="11" t="s">
        <v>482</v>
      </c>
      <c r="L12" s="11" t="s">
        <v>483</v>
      </c>
      <c r="M12" s="11">
        <v>3043</v>
      </c>
      <c r="N12" s="15">
        <f t="shared" si="2"/>
        <v>6.0860000000000003</v>
      </c>
    </row>
    <row r="13" spans="1:14" x14ac:dyDescent="0.25">
      <c r="A13" s="11" t="s">
        <v>26</v>
      </c>
      <c r="B13" s="11" t="s">
        <v>27</v>
      </c>
      <c r="C13" s="11">
        <v>817</v>
      </c>
      <c r="D13" s="15">
        <f t="shared" si="0"/>
        <v>1.6339999999999999</v>
      </c>
      <c r="F13" s="11" t="s">
        <v>281</v>
      </c>
      <c r="G13" s="11" t="s">
        <v>282</v>
      </c>
      <c r="H13" s="11">
        <v>6020</v>
      </c>
      <c r="I13" s="12">
        <f t="shared" si="1"/>
        <v>12.04</v>
      </c>
      <c r="K13" s="11" t="s">
        <v>484</v>
      </c>
      <c r="L13" s="11" t="s">
        <v>485</v>
      </c>
      <c r="M13" s="11">
        <v>1115</v>
      </c>
      <c r="N13" s="15">
        <f t="shared" si="2"/>
        <v>2.23</v>
      </c>
    </row>
    <row r="14" spans="1:14" x14ac:dyDescent="0.25">
      <c r="A14" s="11" t="s">
        <v>28</v>
      </c>
      <c r="B14" s="11" t="s">
        <v>29</v>
      </c>
      <c r="C14" s="11">
        <v>3419</v>
      </c>
      <c r="D14" s="15">
        <f t="shared" si="0"/>
        <v>6.8380000000000001</v>
      </c>
      <c r="F14" s="11" t="s">
        <v>283</v>
      </c>
      <c r="G14" s="11" t="s">
        <v>284</v>
      </c>
      <c r="H14" s="11">
        <v>2035</v>
      </c>
      <c r="I14" s="12">
        <f t="shared" si="1"/>
        <v>4.07</v>
      </c>
      <c r="K14" s="11" t="s">
        <v>486</v>
      </c>
      <c r="L14" s="11" t="s">
        <v>487</v>
      </c>
      <c r="M14" s="11">
        <v>4914</v>
      </c>
      <c r="N14" s="15">
        <f t="shared" si="2"/>
        <v>9.8279999999999994</v>
      </c>
    </row>
    <row r="15" spans="1:14" x14ac:dyDescent="0.25">
      <c r="A15" s="11" t="s">
        <v>30</v>
      </c>
      <c r="B15" s="11" t="s">
        <v>31</v>
      </c>
      <c r="C15" s="11">
        <v>986</v>
      </c>
      <c r="D15" s="15">
        <f t="shared" si="0"/>
        <v>1.972</v>
      </c>
      <c r="F15" s="11" t="s">
        <v>285</v>
      </c>
      <c r="G15" s="11" t="s">
        <v>286</v>
      </c>
      <c r="H15" s="11">
        <v>4816</v>
      </c>
      <c r="I15" s="12">
        <f t="shared" si="1"/>
        <v>9.6319999999999997</v>
      </c>
      <c r="K15" s="11" t="s">
        <v>488</v>
      </c>
      <c r="L15" s="11" t="s">
        <v>489</v>
      </c>
      <c r="M15" s="11">
        <v>879</v>
      </c>
      <c r="N15" s="15">
        <f t="shared" si="2"/>
        <v>1.758</v>
      </c>
    </row>
    <row r="16" spans="1:14" x14ac:dyDescent="0.25">
      <c r="A16" s="11" t="s">
        <v>32</v>
      </c>
      <c r="B16" s="11" t="s">
        <v>33</v>
      </c>
      <c r="C16" s="11">
        <v>403</v>
      </c>
      <c r="D16" s="15">
        <f t="shared" si="0"/>
        <v>0.80600000000000005</v>
      </c>
      <c r="F16" s="11" t="s">
        <v>287</v>
      </c>
      <c r="G16" s="11" t="s">
        <v>288</v>
      </c>
      <c r="H16" s="11">
        <v>0</v>
      </c>
      <c r="I16" s="12">
        <f t="shared" si="1"/>
        <v>0</v>
      </c>
      <c r="K16" s="11" t="s">
        <v>490</v>
      </c>
      <c r="L16" s="11" t="s">
        <v>491</v>
      </c>
      <c r="M16" s="11">
        <v>5991</v>
      </c>
      <c r="N16" s="15">
        <f t="shared" si="2"/>
        <v>11.981999999999999</v>
      </c>
    </row>
    <row r="17" spans="1:14" x14ac:dyDescent="0.25">
      <c r="A17" s="11" t="s">
        <v>34</v>
      </c>
      <c r="B17" s="11" t="s">
        <v>35</v>
      </c>
      <c r="C17" s="11">
        <v>2072</v>
      </c>
      <c r="D17" s="15">
        <f t="shared" si="0"/>
        <v>4.1440000000000001</v>
      </c>
      <c r="F17" s="11" t="s">
        <v>289</v>
      </c>
      <c r="G17" s="11" t="s">
        <v>290</v>
      </c>
      <c r="H17" s="11">
        <v>383</v>
      </c>
      <c r="I17" s="12">
        <f t="shared" si="1"/>
        <v>0.76600000000000001</v>
      </c>
      <c r="K17" s="11" t="s">
        <v>492</v>
      </c>
      <c r="L17" s="11" t="s">
        <v>493</v>
      </c>
      <c r="M17" s="11">
        <v>722</v>
      </c>
      <c r="N17" s="15">
        <f t="shared" si="2"/>
        <v>1.444</v>
      </c>
    </row>
    <row r="18" spans="1:14" x14ac:dyDescent="0.25">
      <c r="A18" s="11" t="s">
        <v>36</v>
      </c>
      <c r="B18" s="11" t="s">
        <v>37</v>
      </c>
      <c r="C18" s="11">
        <v>3348</v>
      </c>
      <c r="D18" s="15">
        <f t="shared" si="0"/>
        <v>6.6959999999999997</v>
      </c>
      <c r="F18" s="11" t="s">
        <v>291</v>
      </c>
      <c r="G18" s="11" t="s">
        <v>292</v>
      </c>
      <c r="H18" s="11">
        <v>472</v>
      </c>
      <c r="I18" s="12">
        <f t="shared" si="1"/>
        <v>0.94399999999999995</v>
      </c>
      <c r="K18" s="11" t="s">
        <v>494</v>
      </c>
      <c r="L18" s="11" t="s">
        <v>495</v>
      </c>
      <c r="M18" s="11">
        <v>1244</v>
      </c>
      <c r="N18" s="15">
        <f t="shared" si="2"/>
        <v>2.488</v>
      </c>
    </row>
    <row r="19" spans="1:14" x14ac:dyDescent="0.25">
      <c r="A19" s="11" t="s">
        <v>38</v>
      </c>
      <c r="B19" s="11" t="s">
        <v>39</v>
      </c>
      <c r="C19" s="11">
        <v>1530</v>
      </c>
      <c r="D19" s="15">
        <f t="shared" si="0"/>
        <v>3.06</v>
      </c>
      <c r="F19" s="11" t="s">
        <v>293</v>
      </c>
      <c r="G19" s="11" t="s">
        <v>294</v>
      </c>
      <c r="H19" s="11">
        <v>6556</v>
      </c>
      <c r="I19" s="12">
        <f t="shared" si="1"/>
        <v>13.112</v>
      </c>
      <c r="K19" s="11" t="s">
        <v>496</v>
      </c>
      <c r="L19" s="11" t="s">
        <v>497</v>
      </c>
      <c r="M19" s="11">
        <v>482</v>
      </c>
      <c r="N19" s="15">
        <f t="shared" si="2"/>
        <v>0.96399999999999997</v>
      </c>
    </row>
    <row r="20" spans="1:14" x14ac:dyDescent="0.25">
      <c r="A20" s="11" t="s">
        <v>40</v>
      </c>
      <c r="B20" s="11" t="s">
        <v>41</v>
      </c>
      <c r="C20" s="11">
        <v>1662</v>
      </c>
      <c r="D20" s="15">
        <f t="shared" si="0"/>
        <v>3.3239999999999998</v>
      </c>
      <c r="F20" s="11" t="s">
        <v>295</v>
      </c>
      <c r="G20" s="11" t="s">
        <v>296</v>
      </c>
      <c r="H20" s="11">
        <v>4548</v>
      </c>
      <c r="I20" s="12">
        <f t="shared" si="1"/>
        <v>9.0960000000000001</v>
      </c>
      <c r="K20" s="11" t="s">
        <v>498</v>
      </c>
      <c r="L20" s="11" t="s">
        <v>499</v>
      </c>
      <c r="M20" s="11">
        <v>1327</v>
      </c>
      <c r="N20" s="15">
        <f t="shared" si="2"/>
        <v>2.6539999999999999</v>
      </c>
    </row>
    <row r="21" spans="1:14" x14ac:dyDescent="0.25">
      <c r="A21" s="11" t="s">
        <v>42</v>
      </c>
      <c r="B21" s="11" t="s">
        <v>43</v>
      </c>
      <c r="C21" s="11">
        <v>2014</v>
      </c>
      <c r="D21" s="15">
        <f t="shared" si="0"/>
        <v>4.0279999999999996</v>
      </c>
      <c r="F21" s="11" t="s">
        <v>297</v>
      </c>
      <c r="G21" s="11" t="s">
        <v>298</v>
      </c>
      <c r="H21" s="11">
        <v>4472</v>
      </c>
      <c r="I21" s="12">
        <f t="shared" si="1"/>
        <v>8.9440000000000008</v>
      </c>
      <c r="K21" s="11" t="s">
        <v>500</v>
      </c>
      <c r="L21" s="11" t="s">
        <v>501</v>
      </c>
      <c r="M21" s="11">
        <v>12391</v>
      </c>
      <c r="N21" s="15">
        <f t="shared" si="2"/>
        <v>24.782</v>
      </c>
    </row>
    <row r="22" spans="1:14" x14ac:dyDescent="0.25">
      <c r="A22" s="11" t="s">
        <v>44</v>
      </c>
      <c r="B22" s="11" t="s">
        <v>45</v>
      </c>
      <c r="C22" s="11">
        <v>5355</v>
      </c>
      <c r="D22" s="15">
        <f t="shared" si="0"/>
        <v>10.71</v>
      </c>
      <c r="F22" s="11" t="s">
        <v>299</v>
      </c>
      <c r="G22" s="11" t="s">
        <v>300</v>
      </c>
      <c r="H22" s="11">
        <v>3413</v>
      </c>
      <c r="I22" s="12">
        <f t="shared" si="1"/>
        <v>6.8259999999999996</v>
      </c>
      <c r="K22" s="11" t="s">
        <v>502</v>
      </c>
      <c r="L22" s="11" t="s">
        <v>503</v>
      </c>
      <c r="M22" s="11">
        <v>958</v>
      </c>
      <c r="N22" s="15">
        <f t="shared" si="2"/>
        <v>1.9159999999999999</v>
      </c>
    </row>
    <row r="23" spans="1:14" x14ac:dyDescent="0.25">
      <c r="A23" s="11" t="s">
        <v>46</v>
      </c>
      <c r="B23" s="11" t="s">
        <v>47</v>
      </c>
      <c r="C23" s="11">
        <v>0</v>
      </c>
      <c r="D23" s="15">
        <f t="shared" si="0"/>
        <v>0</v>
      </c>
      <c r="F23" s="11" t="s">
        <v>301</v>
      </c>
      <c r="G23" s="11" t="s">
        <v>302</v>
      </c>
      <c r="H23" s="11">
        <v>4190</v>
      </c>
      <c r="I23" s="12">
        <f t="shared" si="1"/>
        <v>8.3800000000000008</v>
      </c>
      <c r="K23" s="11" t="s">
        <v>504</v>
      </c>
      <c r="L23" s="11" t="s">
        <v>505</v>
      </c>
      <c r="M23" s="11">
        <v>2430</v>
      </c>
      <c r="N23" s="15">
        <f t="shared" si="2"/>
        <v>4.8600000000000003</v>
      </c>
    </row>
    <row r="24" spans="1:14" x14ac:dyDescent="0.25">
      <c r="A24" s="11" t="s">
        <v>48</v>
      </c>
      <c r="B24" s="11" t="s">
        <v>49</v>
      </c>
      <c r="C24" s="11">
        <v>1509</v>
      </c>
      <c r="D24" s="15">
        <f t="shared" si="0"/>
        <v>3.0179999999999998</v>
      </c>
      <c r="F24" s="11" t="s">
        <v>303</v>
      </c>
      <c r="G24" s="11" t="s">
        <v>304</v>
      </c>
      <c r="H24" s="11">
        <v>2780</v>
      </c>
      <c r="I24" s="12">
        <f t="shared" si="1"/>
        <v>5.56</v>
      </c>
      <c r="K24" s="11" t="s">
        <v>506</v>
      </c>
      <c r="L24" s="11" t="s">
        <v>507</v>
      </c>
      <c r="M24" s="11">
        <v>3946</v>
      </c>
      <c r="N24" s="15">
        <f t="shared" si="2"/>
        <v>7.8920000000000003</v>
      </c>
    </row>
    <row r="25" spans="1:14" x14ac:dyDescent="0.25">
      <c r="A25" s="11" t="s">
        <v>50</v>
      </c>
      <c r="B25" s="11" t="s">
        <v>51</v>
      </c>
      <c r="C25" s="11">
        <v>1599</v>
      </c>
      <c r="D25" s="15">
        <f t="shared" si="0"/>
        <v>3.198</v>
      </c>
      <c r="F25" s="11" t="s">
        <v>305</v>
      </c>
      <c r="G25" s="11" t="s">
        <v>306</v>
      </c>
      <c r="H25" s="11">
        <v>4864</v>
      </c>
      <c r="I25" s="12">
        <f t="shared" si="1"/>
        <v>9.7279999999999998</v>
      </c>
      <c r="K25" s="11" t="s">
        <v>508</v>
      </c>
      <c r="L25" s="11" t="s">
        <v>509</v>
      </c>
      <c r="M25" s="11">
        <v>381</v>
      </c>
      <c r="N25" s="15">
        <f t="shared" si="2"/>
        <v>0.76200000000000001</v>
      </c>
    </row>
    <row r="26" spans="1:14" x14ac:dyDescent="0.25">
      <c r="A26" s="11" t="s">
        <v>52</v>
      </c>
      <c r="B26" s="11" t="s">
        <v>53</v>
      </c>
      <c r="C26" s="11">
        <v>4106</v>
      </c>
      <c r="D26" s="15">
        <f t="shared" si="0"/>
        <v>8.2119999999999997</v>
      </c>
      <c r="F26" s="11" t="s">
        <v>307</v>
      </c>
      <c r="G26" s="11" t="s">
        <v>308</v>
      </c>
      <c r="H26" s="11">
        <v>878</v>
      </c>
      <c r="I26" s="12">
        <f t="shared" si="1"/>
        <v>1.756</v>
      </c>
      <c r="K26" s="11" t="s">
        <v>510</v>
      </c>
      <c r="L26" s="11" t="s">
        <v>511</v>
      </c>
      <c r="M26" s="11">
        <v>602</v>
      </c>
      <c r="N26" s="15">
        <f t="shared" si="2"/>
        <v>1.204</v>
      </c>
    </row>
    <row r="27" spans="1:14" x14ac:dyDescent="0.25">
      <c r="A27" s="11" t="s">
        <v>54</v>
      </c>
      <c r="B27" s="11" t="s">
        <v>55</v>
      </c>
      <c r="C27" s="11">
        <v>1904</v>
      </c>
      <c r="D27" s="15">
        <f t="shared" si="0"/>
        <v>3.8079999999999998</v>
      </c>
      <c r="F27" s="11" t="s">
        <v>309</v>
      </c>
      <c r="G27" s="11" t="s">
        <v>310</v>
      </c>
      <c r="H27" s="11">
        <v>3317</v>
      </c>
      <c r="I27" s="12">
        <f t="shared" si="1"/>
        <v>6.6340000000000003</v>
      </c>
      <c r="K27" s="11" t="s">
        <v>512</v>
      </c>
      <c r="L27" s="11" t="s">
        <v>513</v>
      </c>
      <c r="M27" s="11">
        <v>1483</v>
      </c>
      <c r="N27" s="15">
        <f t="shared" si="2"/>
        <v>2.9660000000000002</v>
      </c>
    </row>
    <row r="28" spans="1:14" x14ac:dyDescent="0.25">
      <c r="A28" s="11" t="s">
        <v>56</v>
      </c>
      <c r="B28" s="11" t="s">
        <v>57</v>
      </c>
      <c r="C28" s="11">
        <v>476</v>
      </c>
      <c r="D28" s="15">
        <f t="shared" si="0"/>
        <v>0.95199999999999996</v>
      </c>
      <c r="F28" s="11" t="s">
        <v>311</v>
      </c>
      <c r="G28" s="11" t="s">
        <v>312</v>
      </c>
      <c r="H28" s="11">
        <v>1842</v>
      </c>
      <c r="I28" s="12">
        <f t="shared" si="1"/>
        <v>3.6840000000000002</v>
      </c>
      <c r="K28" s="11" t="s">
        <v>514</v>
      </c>
      <c r="L28" s="11" t="s">
        <v>515</v>
      </c>
      <c r="M28" s="11">
        <v>4568</v>
      </c>
      <c r="N28" s="15">
        <f t="shared" si="2"/>
        <v>9.1359999999999992</v>
      </c>
    </row>
    <row r="29" spans="1:14" x14ac:dyDescent="0.25">
      <c r="A29" s="11" t="s">
        <v>58</v>
      </c>
      <c r="B29" s="11" t="s">
        <v>59</v>
      </c>
      <c r="C29" s="11">
        <v>451</v>
      </c>
      <c r="D29" s="15">
        <f t="shared" si="0"/>
        <v>0.90200000000000002</v>
      </c>
      <c r="F29" s="11" t="s">
        <v>313</v>
      </c>
      <c r="G29" s="11" t="s">
        <v>314</v>
      </c>
      <c r="H29" s="11">
        <v>9384</v>
      </c>
      <c r="I29" s="12">
        <f t="shared" si="1"/>
        <v>18.768000000000001</v>
      </c>
      <c r="K29" s="11" t="s">
        <v>516</v>
      </c>
      <c r="L29" s="11" t="s">
        <v>517</v>
      </c>
      <c r="M29" s="11">
        <v>1112</v>
      </c>
      <c r="N29" s="15">
        <f t="shared" si="2"/>
        <v>2.2240000000000002</v>
      </c>
    </row>
    <row r="30" spans="1:14" x14ac:dyDescent="0.25">
      <c r="A30" s="11" t="s">
        <v>60</v>
      </c>
      <c r="B30" s="11" t="s">
        <v>61</v>
      </c>
      <c r="C30" s="11">
        <v>5976</v>
      </c>
      <c r="D30" s="15">
        <f t="shared" si="0"/>
        <v>11.952</v>
      </c>
      <c r="F30" s="11" t="s">
        <v>315</v>
      </c>
      <c r="G30" s="11" t="s">
        <v>316</v>
      </c>
      <c r="H30" s="11">
        <v>3535</v>
      </c>
      <c r="I30" s="12">
        <f t="shared" si="1"/>
        <v>7.07</v>
      </c>
      <c r="K30" s="11" t="s">
        <v>518</v>
      </c>
      <c r="L30" s="11" t="s">
        <v>519</v>
      </c>
      <c r="M30" s="11">
        <v>2104</v>
      </c>
      <c r="N30" s="15">
        <f t="shared" si="2"/>
        <v>4.2080000000000002</v>
      </c>
    </row>
    <row r="31" spans="1:14" x14ac:dyDescent="0.25">
      <c r="A31" s="11" t="s">
        <v>62</v>
      </c>
      <c r="B31" s="11" t="s">
        <v>63</v>
      </c>
      <c r="C31" s="11">
        <v>0</v>
      </c>
      <c r="D31" s="15">
        <f t="shared" si="0"/>
        <v>0</v>
      </c>
      <c r="F31" s="11" t="s">
        <v>317</v>
      </c>
      <c r="G31" s="11" t="s">
        <v>318</v>
      </c>
      <c r="H31" s="11">
        <v>4440</v>
      </c>
      <c r="I31" s="12">
        <f t="shared" si="1"/>
        <v>8.8800000000000008</v>
      </c>
      <c r="K31" s="11" t="s">
        <v>520</v>
      </c>
      <c r="L31" s="11" t="s">
        <v>521</v>
      </c>
      <c r="M31" s="11">
        <v>0</v>
      </c>
      <c r="N31" s="15">
        <f t="shared" si="2"/>
        <v>0</v>
      </c>
    </row>
    <row r="32" spans="1:14" x14ac:dyDescent="0.25">
      <c r="A32" s="11" t="s">
        <v>64</v>
      </c>
      <c r="B32" s="11" t="s">
        <v>65</v>
      </c>
      <c r="C32" s="11">
        <v>1316</v>
      </c>
      <c r="D32" s="15">
        <f t="shared" si="0"/>
        <v>2.6320000000000001</v>
      </c>
      <c r="F32" s="11" t="s">
        <v>319</v>
      </c>
      <c r="G32" s="11" t="s">
        <v>320</v>
      </c>
      <c r="H32" s="11">
        <v>7601</v>
      </c>
      <c r="I32" s="12">
        <f t="shared" si="1"/>
        <v>15.202</v>
      </c>
      <c r="K32" s="11" t="s">
        <v>522</v>
      </c>
      <c r="L32" s="11" t="s">
        <v>523</v>
      </c>
      <c r="M32" s="11">
        <v>5295</v>
      </c>
      <c r="N32" s="15">
        <f t="shared" si="2"/>
        <v>10.59</v>
      </c>
    </row>
    <row r="33" spans="1:14" x14ac:dyDescent="0.25">
      <c r="A33" s="11" t="s">
        <v>66</v>
      </c>
      <c r="B33" s="11" t="s">
        <v>67</v>
      </c>
      <c r="C33" s="11">
        <v>1371</v>
      </c>
      <c r="D33" s="15">
        <f t="shared" si="0"/>
        <v>2.742</v>
      </c>
      <c r="F33" s="11" t="s">
        <v>321</v>
      </c>
      <c r="G33" s="11" t="s">
        <v>322</v>
      </c>
      <c r="H33" s="11">
        <v>5709</v>
      </c>
      <c r="I33" s="12">
        <f t="shared" si="1"/>
        <v>11.417999999999999</v>
      </c>
      <c r="K33" s="11" t="s">
        <v>524</v>
      </c>
      <c r="L33" s="11" t="s">
        <v>525</v>
      </c>
      <c r="M33" s="11">
        <v>67</v>
      </c>
      <c r="N33" s="15">
        <f t="shared" si="2"/>
        <v>0.13400000000000001</v>
      </c>
    </row>
    <row r="34" spans="1:14" x14ac:dyDescent="0.25">
      <c r="A34" s="11" t="s">
        <v>68</v>
      </c>
      <c r="B34" s="11" t="s">
        <v>69</v>
      </c>
      <c r="C34" s="11">
        <v>4342</v>
      </c>
      <c r="D34" s="15">
        <f t="shared" si="0"/>
        <v>8.6839999999999993</v>
      </c>
      <c r="F34" s="11" t="s">
        <v>323</v>
      </c>
      <c r="G34" s="11" t="s">
        <v>324</v>
      </c>
      <c r="H34" s="11">
        <v>1079</v>
      </c>
      <c r="I34" s="12">
        <f t="shared" si="1"/>
        <v>2.1579999999999999</v>
      </c>
      <c r="K34" s="11" t="s">
        <v>526</v>
      </c>
      <c r="L34" s="11" t="s">
        <v>527</v>
      </c>
      <c r="M34" s="11">
        <v>28961</v>
      </c>
      <c r="N34" s="15">
        <f t="shared" si="2"/>
        <v>57.921999999999997</v>
      </c>
    </row>
    <row r="35" spans="1:14" x14ac:dyDescent="0.25">
      <c r="A35" s="11" t="s">
        <v>70</v>
      </c>
      <c r="B35" s="11" t="s">
        <v>71</v>
      </c>
      <c r="C35" s="11">
        <v>123</v>
      </c>
      <c r="D35" s="15">
        <f t="shared" si="0"/>
        <v>0.246</v>
      </c>
      <c r="F35" s="11" t="s">
        <v>325</v>
      </c>
      <c r="G35" s="11" t="s">
        <v>326</v>
      </c>
      <c r="H35" s="11">
        <v>1719</v>
      </c>
      <c r="I35" s="12">
        <f t="shared" si="1"/>
        <v>3.4380000000000002</v>
      </c>
      <c r="K35" s="11" t="s">
        <v>528</v>
      </c>
      <c r="L35" s="11" t="s">
        <v>529</v>
      </c>
      <c r="M35" s="11">
        <v>3113</v>
      </c>
      <c r="N35" s="15">
        <f t="shared" si="2"/>
        <v>6.226</v>
      </c>
    </row>
    <row r="36" spans="1:14" x14ac:dyDescent="0.25">
      <c r="A36" s="11" t="s">
        <v>72</v>
      </c>
      <c r="B36" s="11" t="s">
        <v>73</v>
      </c>
      <c r="C36" s="11">
        <v>309</v>
      </c>
      <c r="D36" s="15">
        <f t="shared" si="0"/>
        <v>0.61799999999999999</v>
      </c>
      <c r="F36" s="11" t="s">
        <v>327</v>
      </c>
      <c r="G36" s="11" t="s">
        <v>328</v>
      </c>
      <c r="H36" s="11">
        <v>9041</v>
      </c>
      <c r="I36" s="12">
        <f t="shared" si="1"/>
        <v>18.082000000000001</v>
      </c>
      <c r="K36" s="11" t="s">
        <v>530</v>
      </c>
      <c r="L36" s="11" t="s">
        <v>531</v>
      </c>
      <c r="M36" s="11">
        <v>246</v>
      </c>
      <c r="N36" s="15">
        <f t="shared" si="2"/>
        <v>0.49199999999999999</v>
      </c>
    </row>
    <row r="37" spans="1:14" x14ac:dyDescent="0.25">
      <c r="A37" s="11" t="s">
        <v>74</v>
      </c>
      <c r="B37" s="11" t="s">
        <v>75</v>
      </c>
      <c r="C37" s="11">
        <v>5702</v>
      </c>
      <c r="D37" s="15">
        <f t="shared" si="0"/>
        <v>11.404</v>
      </c>
      <c r="F37" s="11" t="s">
        <v>329</v>
      </c>
      <c r="G37" s="11" t="s">
        <v>330</v>
      </c>
      <c r="H37" s="11">
        <v>4405</v>
      </c>
      <c r="I37" s="12">
        <f t="shared" si="1"/>
        <v>8.81</v>
      </c>
      <c r="K37" s="11" t="s">
        <v>532</v>
      </c>
      <c r="L37" s="11" t="s">
        <v>533</v>
      </c>
      <c r="M37" s="11">
        <v>4302</v>
      </c>
      <c r="N37" s="15">
        <f t="shared" si="2"/>
        <v>8.6039999999999992</v>
      </c>
    </row>
    <row r="38" spans="1:14" x14ac:dyDescent="0.25">
      <c r="A38" s="11" t="s">
        <v>76</v>
      </c>
      <c r="B38" s="11" t="s">
        <v>77</v>
      </c>
      <c r="C38" s="11">
        <v>1007</v>
      </c>
      <c r="D38" s="15">
        <f t="shared" si="0"/>
        <v>2.0139999999999998</v>
      </c>
      <c r="F38" s="11" t="s">
        <v>331</v>
      </c>
      <c r="G38" s="11" t="s">
        <v>332</v>
      </c>
      <c r="H38" s="11">
        <v>3132</v>
      </c>
      <c r="I38" s="12">
        <f t="shared" si="1"/>
        <v>6.2640000000000002</v>
      </c>
      <c r="K38" s="11" t="s">
        <v>534</v>
      </c>
      <c r="L38" s="11" t="s">
        <v>535</v>
      </c>
      <c r="M38" s="11">
        <v>88</v>
      </c>
      <c r="N38" s="15">
        <f t="shared" si="2"/>
        <v>0.17599999999999999</v>
      </c>
    </row>
    <row r="39" spans="1:14" x14ac:dyDescent="0.25">
      <c r="A39" s="11" t="s">
        <v>78</v>
      </c>
      <c r="B39" s="11" t="s">
        <v>79</v>
      </c>
      <c r="C39" s="11">
        <v>487</v>
      </c>
      <c r="D39" s="15">
        <f t="shared" si="0"/>
        <v>0.97399999999999998</v>
      </c>
      <c r="F39" s="11" t="s">
        <v>333</v>
      </c>
      <c r="G39" s="11" t="s">
        <v>334</v>
      </c>
      <c r="H39" s="11">
        <v>1109</v>
      </c>
      <c r="I39" s="12">
        <f t="shared" si="1"/>
        <v>2.218</v>
      </c>
      <c r="K39" s="11" t="s">
        <v>536</v>
      </c>
      <c r="L39" s="11" t="s">
        <v>537</v>
      </c>
      <c r="M39" s="11">
        <v>820</v>
      </c>
      <c r="N39" s="15">
        <f t="shared" si="2"/>
        <v>1.64</v>
      </c>
    </row>
    <row r="40" spans="1:14" x14ac:dyDescent="0.25">
      <c r="A40" s="11" t="s">
        <v>80</v>
      </c>
      <c r="B40" s="11" t="s">
        <v>81</v>
      </c>
      <c r="C40" s="11">
        <v>86</v>
      </c>
      <c r="D40" s="15">
        <f t="shared" si="0"/>
        <v>0.17199999999999999</v>
      </c>
      <c r="F40" s="11" t="s">
        <v>335</v>
      </c>
      <c r="G40" s="11" t="s">
        <v>336</v>
      </c>
      <c r="H40" s="11">
        <v>2066</v>
      </c>
      <c r="I40" s="12">
        <f t="shared" si="1"/>
        <v>4.1319999999999997</v>
      </c>
      <c r="K40" s="11" t="s">
        <v>538</v>
      </c>
      <c r="L40" s="11" t="s">
        <v>539</v>
      </c>
      <c r="M40" s="11">
        <v>4641</v>
      </c>
      <c r="N40" s="15">
        <f t="shared" si="2"/>
        <v>9.282</v>
      </c>
    </row>
    <row r="41" spans="1:14" x14ac:dyDescent="0.25">
      <c r="A41" s="11" t="s">
        <v>82</v>
      </c>
      <c r="B41" s="11" t="s">
        <v>83</v>
      </c>
      <c r="C41" s="11">
        <v>1016</v>
      </c>
      <c r="D41" s="15">
        <f t="shared" si="0"/>
        <v>2.032</v>
      </c>
      <c r="F41" s="11" t="s">
        <v>337</v>
      </c>
      <c r="G41" s="11" t="s">
        <v>338</v>
      </c>
      <c r="H41" s="11">
        <v>2855</v>
      </c>
      <c r="I41" s="12">
        <f t="shared" si="1"/>
        <v>5.71</v>
      </c>
      <c r="K41" s="11" t="s">
        <v>540</v>
      </c>
      <c r="L41" s="11" t="s">
        <v>541</v>
      </c>
      <c r="M41" s="11">
        <v>1296</v>
      </c>
      <c r="N41" s="15">
        <f t="shared" si="2"/>
        <v>2.5920000000000001</v>
      </c>
    </row>
    <row r="42" spans="1:14" x14ac:dyDescent="0.25">
      <c r="A42" s="11" t="s">
        <v>84</v>
      </c>
      <c r="B42" s="11" t="s">
        <v>85</v>
      </c>
      <c r="C42" s="11">
        <v>2651</v>
      </c>
      <c r="D42" s="15">
        <f t="shared" si="0"/>
        <v>5.3019999999999996</v>
      </c>
      <c r="F42" s="11" t="s">
        <v>339</v>
      </c>
      <c r="G42" s="11" t="s">
        <v>340</v>
      </c>
      <c r="H42" s="11">
        <v>2995</v>
      </c>
      <c r="I42" s="12">
        <f t="shared" si="1"/>
        <v>5.99</v>
      </c>
      <c r="K42" s="11" t="s">
        <v>542</v>
      </c>
      <c r="L42" s="11" t="s">
        <v>543</v>
      </c>
      <c r="M42" s="11">
        <v>1430</v>
      </c>
      <c r="N42" s="15">
        <f t="shared" si="2"/>
        <v>2.86</v>
      </c>
    </row>
    <row r="43" spans="1:14" x14ac:dyDescent="0.25">
      <c r="A43" s="11" t="s">
        <v>86</v>
      </c>
      <c r="B43" s="11" t="s">
        <v>87</v>
      </c>
      <c r="C43" s="11">
        <v>2781</v>
      </c>
      <c r="D43" s="15">
        <f t="shared" si="0"/>
        <v>5.5620000000000003</v>
      </c>
      <c r="F43" s="11" t="s">
        <v>343</v>
      </c>
      <c r="G43" s="11" t="s">
        <v>344</v>
      </c>
      <c r="H43" s="11">
        <v>6974</v>
      </c>
      <c r="I43" s="12">
        <f t="shared" si="1"/>
        <v>13.948</v>
      </c>
      <c r="K43" s="11" t="s">
        <v>544</v>
      </c>
      <c r="L43" s="11" t="s">
        <v>545</v>
      </c>
      <c r="M43" s="11">
        <v>7597</v>
      </c>
      <c r="N43" s="15">
        <f t="shared" si="2"/>
        <v>15.194000000000001</v>
      </c>
    </row>
    <row r="44" spans="1:14" x14ac:dyDescent="0.25">
      <c r="A44" s="11" t="s">
        <v>88</v>
      </c>
      <c r="B44" s="11" t="s">
        <v>89</v>
      </c>
      <c r="C44" s="11">
        <v>6811</v>
      </c>
      <c r="D44" s="15">
        <f t="shared" si="0"/>
        <v>13.622</v>
      </c>
      <c r="F44" s="11" t="s">
        <v>345</v>
      </c>
      <c r="G44" s="11" t="s">
        <v>346</v>
      </c>
      <c r="H44" s="11">
        <v>7135</v>
      </c>
      <c r="I44" s="12">
        <f t="shared" si="1"/>
        <v>14.27</v>
      </c>
      <c r="K44" s="11" t="s">
        <v>546</v>
      </c>
      <c r="L44" s="11" t="s">
        <v>547</v>
      </c>
      <c r="M44" s="11">
        <v>1909</v>
      </c>
      <c r="N44" s="15">
        <f t="shared" si="2"/>
        <v>3.8180000000000001</v>
      </c>
    </row>
    <row r="45" spans="1:14" x14ac:dyDescent="0.25">
      <c r="A45" s="11" t="s">
        <v>341</v>
      </c>
      <c r="B45" s="11" t="s">
        <v>342</v>
      </c>
      <c r="C45" s="11">
        <v>89507</v>
      </c>
      <c r="D45" s="15">
        <f t="shared" si="0"/>
        <v>179.01400000000001</v>
      </c>
      <c r="F45" s="11" t="s">
        <v>347</v>
      </c>
      <c r="G45" s="11" t="s">
        <v>348</v>
      </c>
      <c r="H45" s="11">
        <v>7766</v>
      </c>
      <c r="I45" s="12">
        <f t="shared" si="1"/>
        <v>15.532</v>
      </c>
      <c r="K45" s="11" t="s">
        <v>548</v>
      </c>
      <c r="L45" s="11" t="s">
        <v>549</v>
      </c>
      <c r="M45" s="11">
        <v>1913</v>
      </c>
      <c r="N45" s="15">
        <f t="shared" si="2"/>
        <v>3.8260000000000001</v>
      </c>
    </row>
    <row r="46" spans="1:14" x14ac:dyDescent="0.25">
      <c r="A46" s="11" t="s">
        <v>90</v>
      </c>
      <c r="B46" s="11" t="s">
        <v>91</v>
      </c>
      <c r="C46" s="11">
        <v>2524</v>
      </c>
      <c r="D46" s="15">
        <f t="shared" si="0"/>
        <v>5.048</v>
      </c>
      <c r="F46" s="11" t="s">
        <v>349</v>
      </c>
      <c r="G46" s="11" t="s">
        <v>350</v>
      </c>
      <c r="H46" s="11">
        <v>10038</v>
      </c>
      <c r="I46" s="12">
        <f t="shared" si="1"/>
        <v>20.076000000000001</v>
      </c>
      <c r="K46" s="11" t="s">
        <v>550</v>
      </c>
      <c r="L46" s="11" t="s">
        <v>551</v>
      </c>
      <c r="M46" s="11">
        <v>2317</v>
      </c>
      <c r="N46" s="15">
        <f t="shared" si="2"/>
        <v>4.6340000000000003</v>
      </c>
    </row>
    <row r="47" spans="1:14" x14ac:dyDescent="0.25">
      <c r="A47" s="11" t="s">
        <v>92</v>
      </c>
      <c r="B47" s="11" t="s">
        <v>93</v>
      </c>
      <c r="C47" s="11">
        <v>342</v>
      </c>
      <c r="D47" s="15">
        <f t="shared" si="0"/>
        <v>0.68400000000000005</v>
      </c>
      <c r="F47" s="11" t="s">
        <v>351</v>
      </c>
      <c r="G47" s="11" t="s">
        <v>352</v>
      </c>
      <c r="H47" s="11">
        <v>1527</v>
      </c>
      <c r="I47" s="12">
        <f t="shared" si="1"/>
        <v>3.0539999999999998</v>
      </c>
      <c r="K47" s="11" t="s">
        <v>552</v>
      </c>
      <c r="L47" s="11" t="s">
        <v>553</v>
      </c>
      <c r="M47" s="11">
        <v>7475</v>
      </c>
      <c r="N47" s="15">
        <f t="shared" si="2"/>
        <v>14.95</v>
      </c>
    </row>
    <row r="48" spans="1:14" x14ac:dyDescent="0.25">
      <c r="A48" s="11" t="s">
        <v>94</v>
      </c>
      <c r="B48" s="11" t="s">
        <v>95</v>
      </c>
      <c r="C48" s="11">
        <v>1025</v>
      </c>
      <c r="D48" s="15">
        <f t="shared" si="0"/>
        <v>2.0499999999999998</v>
      </c>
      <c r="F48" s="11" t="s">
        <v>353</v>
      </c>
      <c r="G48" s="11" t="s">
        <v>354</v>
      </c>
      <c r="H48" s="11">
        <v>4844</v>
      </c>
      <c r="I48" s="12">
        <f t="shared" si="1"/>
        <v>9.6880000000000006</v>
      </c>
      <c r="K48" s="11" t="s">
        <v>554</v>
      </c>
      <c r="L48" s="11" t="s">
        <v>555</v>
      </c>
      <c r="M48" s="11">
        <v>1</v>
      </c>
      <c r="N48" s="15">
        <f t="shared" si="2"/>
        <v>2E-3</v>
      </c>
    </row>
    <row r="49" spans="1:14" x14ac:dyDescent="0.25">
      <c r="A49" s="11" t="s">
        <v>96</v>
      </c>
      <c r="B49" s="11" t="s">
        <v>97</v>
      </c>
      <c r="C49" s="11">
        <v>1910</v>
      </c>
      <c r="D49" s="15">
        <f t="shared" si="0"/>
        <v>3.82</v>
      </c>
      <c r="F49" s="11" t="s">
        <v>355</v>
      </c>
      <c r="G49" s="11" t="s">
        <v>356</v>
      </c>
      <c r="H49" s="11">
        <v>3576</v>
      </c>
      <c r="I49" s="12">
        <f t="shared" si="1"/>
        <v>7.1520000000000001</v>
      </c>
      <c r="K49" s="11" t="s">
        <v>556</v>
      </c>
      <c r="L49" s="11" t="s">
        <v>557</v>
      </c>
      <c r="M49" s="11">
        <v>3225</v>
      </c>
      <c r="N49" s="15">
        <f t="shared" si="2"/>
        <v>6.45</v>
      </c>
    </row>
    <row r="50" spans="1:14" x14ac:dyDescent="0.25">
      <c r="A50" s="11" t="s">
        <v>98</v>
      </c>
      <c r="B50" s="11" t="s">
        <v>99</v>
      </c>
      <c r="C50" s="11">
        <v>5368</v>
      </c>
      <c r="D50" s="15">
        <f t="shared" si="0"/>
        <v>10.736000000000001</v>
      </c>
      <c r="F50" s="11" t="s">
        <v>357</v>
      </c>
      <c r="G50" s="11" t="s">
        <v>358</v>
      </c>
      <c r="H50" s="11">
        <v>9619</v>
      </c>
      <c r="I50" s="12">
        <f t="shared" si="1"/>
        <v>19.238</v>
      </c>
      <c r="K50" s="11" t="s">
        <v>558</v>
      </c>
      <c r="L50" s="11" t="s">
        <v>559</v>
      </c>
      <c r="M50" s="11">
        <v>1453</v>
      </c>
      <c r="N50" s="15">
        <f t="shared" si="2"/>
        <v>2.9060000000000001</v>
      </c>
    </row>
    <row r="51" spans="1:14" x14ac:dyDescent="0.25">
      <c r="A51" s="11" t="s">
        <v>100</v>
      </c>
      <c r="B51" s="11" t="s">
        <v>101</v>
      </c>
      <c r="C51" s="11">
        <v>385</v>
      </c>
      <c r="D51" s="15">
        <f t="shared" si="0"/>
        <v>0.77</v>
      </c>
      <c r="F51" s="11" t="s">
        <v>359</v>
      </c>
      <c r="G51" s="11" t="s">
        <v>360</v>
      </c>
      <c r="H51" s="11">
        <v>838</v>
      </c>
      <c r="I51" s="12">
        <f t="shared" si="1"/>
        <v>1.6759999999999999</v>
      </c>
      <c r="K51" s="11" t="s">
        <v>560</v>
      </c>
      <c r="L51" s="11" t="s">
        <v>561</v>
      </c>
      <c r="M51" s="11">
        <v>3287</v>
      </c>
      <c r="N51" s="15">
        <f t="shared" si="2"/>
        <v>6.5739999999999998</v>
      </c>
    </row>
    <row r="52" spans="1:14" x14ac:dyDescent="0.25">
      <c r="A52" s="11" t="s">
        <v>102</v>
      </c>
      <c r="B52" s="11" t="s">
        <v>103</v>
      </c>
      <c r="C52" s="11">
        <v>1346</v>
      </c>
      <c r="D52" s="15">
        <f t="shared" si="0"/>
        <v>2.6920000000000002</v>
      </c>
      <c r="F52" s="11" t="s">
        <v>361</v>
      </c>
      <c r="G52" s="11" t="s">
        <v>362</v>
      </c>
      <c r="H52" s="11">
        <v>18693</v>
      </c>
      <c r="I52" s="12">
        <f t="shared" si="1"/>
        <v>37.386000000000003</v>
      </c>
      <c r="K52" s="11" t="s">
        <v>562</v>
      </c>
      <c r="L52" s="11" t="s">
        <v>563</v>
      </c>
      <c r="M52" s="11">
        <v>5969</v>
      </c>
      <c r="N52" s="15">
        <f t="shared" si="2"/>
        <v>11.938000000000001</v>
      </c>
    </row>
    <row r="53" spans="1:14" x14ac:dyDescent="0.25">
      <c r="A53" s="11" t="s">
        <v>104</v>
      </c>
      <c r="B53" s="11" t="s">
        <v>105</v>
      </c>
      <c r="C53" s="11">
        <v>616</v>
      </c>
      <c r="D53" s="15">
        <f t="shared" si="0"/>
        <v>1.232</v>
      </c>
      <c r="F53" s="11" t="s">
        <v>361</v>
      </c>
      <c r="G53" s="11" t="s">
        <v>363</v>
      </c>
      <c r="H53" s="11">
        <v>5634</v>
      </c>
      <c r="I53" s="12">
        <f t="shared" si="1"/>
        <v>11.268000000000001</v>
      </c>
      <c r="K53" s="11" t="s">
        <v>564</v>
      </c>
      <c r="L53" s="11" t="s">
        <v>565</v>
      </c>
      <c r="M53" s="11">
        <v>5487</v>
      </c>
      <c r="N53" s="15">
        <f t="shared" si="2"/>
        <v>10.974</v>
      </c>
    </row>
    <row r="54" spans="1:14" x14ac:dyDescent="0.25">
      <c r="A54" s="11" t="s">
        <v>106</v>
      </c>
      <c r="B54" s="11" t="s">
        <v>107</v>
      </c>
      <c r="C54" s="11">
        <v>6473</v>
      </c>
      <c r="D54" s="15">
        <f t="shared" si="0"/>
        <v>12.946</v>
      </c>
      <c r="F54" s="11" t="s">
        <v>364</v>
      </c>
      <c r="G54" s="11" t="s">
        <v>365</v>
      </c>
      <c r="H54" s="11">
        <v>4356</v>
      </c>
      <c r="I54" s="12">
        <f t="shared" si="1"/>
        <v>8.7119999999999997</v>
      </c>
      <c r="K54" s="11" t="s">
        <v>566</v>
      </c>
      <c r="L54" s="11" t="s">
        <v>567</v>
      </c>
      <c r="M54" s="11">
        <v>9354</v>
      </c>
      <c r="N54" s="15">
        <f t="shared" si="2"/>
        <v>18.707999999999998</v>
      </c>
    </row>
    <row r="55" spans="1:14" x14ac:dyDescent="0.25">
      <c r="A55" s="11" t="s">
        <v>108</v>
      </c>
      <c r="B55" s="11" t="s">
        <v>109</v>
      </c>
      <c r="C55" s="11">
        <v>403</v>
      </c>
      <c r="D55" s="15">
        <f t="shared" si="0"/>
        <v>0.80600000000000005</v>
      </c>
      <c r="F55" s="11" t="s">
        <v>366</v>
      </c>
      <c r="G55" s="11" t="s">
        <v>367</v>
      </c>
      <c r="H55" s="11">
        <v>8992</v>
      </c>
      <c r="I55" s="12">
        <f t="shared" si="1"/>
        <v>17.984000000000002</v>
      </c>
      <c r="K55" s="11" t="s">
        <v>568</v>
      </c>
      <c r="L55" s="11" t="s">
        <v>569</v>
      </c>
      <c r="M55" s="11">
        <v>41129</v>
      </c>
      <c r="N55" s="15">
        <f t="shared" si="2"/>
        <v>82.257999999999996</v>
      </c>
    </row>
    <row r="56" spans="1:14" x14ac:dyDescent="0.25">
      <c r="A56" s="11" t="s">
        <v>110</v>
      </c>
      <c r="B56" s="11" t="s">
        <v>111</v>
      </c>
      <c r="C56" s="11">
        <v>528</v>
      </c>
      <c r="D56" s="15">
        <f t="shared" si="0"/>
        <v>1.056</v>
      </c>
      <c r="F56" s="11" t="s">
        <v>368</v>
      </c>
      <c r="G56" s="11" t="s">
        <v>369</v>
      </c>
      <c r="H56" s="11">
        <v>5578</v>
      </c>
      <c r="I56" s="12">
        <f t="shared" si="1"/>
        <v>11.156000000000001</v>
      </c>
      <c r="K56" s="11" t="s">
        <v>570</v>
      </c>
      <c r="L56" s="11" t="s">
        <v>571</v>
      </c>
      <c r="M56" s="11">
        <v>2709</v>
      </c>
      <c r="N56" s="15">
        <f t="shared" si="2"/>
        <v>5.4180000000000001</v>
      </c>
    </row>
    <row r="57" spans="1:14" x14ac:dyDescent="0.25">
      <c r="A57" s="11" t="s">
        <v>112</v>
      </c>
      <c r="B57" s="11" t="s">
        <v>113</v>
      </c>
      <c r="C57" s="11">
        <v>1635</v>
      </c>
      <c r="D57" s="15">
        <f t="shared" si="0"/>
        <v>3.27</v>
      </c>
      <c r="F57" s="11" t="s">
        <v>370</v>
      </c>
      <c r="G57" s="11" t="s">
        <v>371</v>
      </c>
      <c r="H57" s="11">
        <v>8875</v>
      </c>
      <c r="I57" s="12">
        <f t="shared" si="1"/>
        <v>17.75</v>
      </c>
      <c r="K57" s="11" t="s">
        <v>572</v>
      </c>
      <c r="L57" s="11" t="s">
        <v>573</v>
      </c>
      <c r="M57" s="11">
        <v>4489</v>
      </c>
      <c r="N57" s="15">
        <f t="shared" si="2"/>
        <v>8.9779999999999998</v>
      </c>
    </row>
    <row r="58" spans="1:14" x14ac:dyDescent="0.25">
      <c r="A58" s="11" t="s">
        <v>114</v>
      </c>
      <c r="B58" s="11" t="s">
        <v>115</v>
      </c>
      <c r="C58" s="11">
        <v>1313</v>
      </c>
      <c r="D58" s="15">
        <f t="shared" si="0"/>
        <v>2.6259999999999999</v>
      </c>
      <c r="F58" s="11" t="s">
        <v>372</v>
      </c>
      <c r="G58" s="11" t="s">
        <v>373</v>
      </c>
      <c r="H58" s="11">
        <v>5811</v>
      </c>
      <c r="I58" s="12">
        <f t="shared" si="1"/>
        <v>11.622</v>
      </c>
      <c r="K58" s="11" t="s">
        <v>574</v>
      </c>
      <c r="L58" s="11" t="s">
        <v>575</v>
      </c>
      <c r="M58" s="11">
        <v>2787</v>
      </c>
      <c r="N58" s="15">
        <f t="shared" si="2"/>
        <v>5.5739999999999998</v>
      </c>
    </row>
    <row r="59" spans="1:14" x14ac:dyDescent="0.25">
      <c r="A59" s="11" t="s">
        <v>116</v>
      </c>
      <c r="B59" s="11" t="s">
        <v>117</v>
      </c>
      <c r="C59" s="11">
        <v>1433</v>
      </c>
      <c r="D59" s="15">
        <f t="shared" si="0"/>
        <v>2.8660000000000001</v>
      </c>
      <c r="F59" s="11" t="s">
        <v>374</v>
      </c>
      <c r="G59" s="11" t="s">
        <v>375</v>
      </c>
      <c r="H59" s="11">
        <v>6433</v>
      </c>
      <c r="I59" s="12">
        <f t="shared" si="1"/>
        <v>12.866</v>
      </c>
      <c r="K59" s="11" t="s">
        <v>576</v>
      </c>
      <c r="L59" s="11" t="s">
        <v>577</v>
      </c>
      <c r="M59" s="11">
        <v>1356</v>
      </c>
      <c r="N59" s="15">
        <f t="shared" si="2"/>
        <v>2.7120000000000002</v>
      </c>
    </row>
    <row r="60" spans="1:14" x14ac:dyDescent="0.25">
      <c r="A60" s="11" t="s">
        <v>118</v>
      </c>
      <c r="B60" s="11" t="s">
        <v>119</v>
      </c>
      <c r="C60" s="11">
        <v>5431</v>
      </c>
      <c r="D60" s="15">
        <f t="shared" si="0"/>
        <v>10.862</v>
      </c>
      <c r="F60" s="11" t="s">
        <v>376</v>
      </c>
      <c r="G60" s="11" t="s">
        <v>377</v>
      </c>
      <c r="H60" s="11">
        <v>64233</v>
      </c>
      <c r="I60" s="12">
        <f t="shared" si="1"/>
        <v>128.46600000000001</v>
      </c>
      <c r="K60" s="11" t="s">
        <v>578</v>
      </c>
      <c r="L60" s="11" t="s">
        <v>579</v>
      </c>
      <c r="M60" s="11">
        <v>2449</v>
      </c>
      <c r="N60" s="15">
        <f t="shared" si="2"/>
        <v>4.8979999999999997</v>
      </c>
    </row>
    <row r="61" spans="1:14" x14ac:dyDescent="0.25">
      <c r="A61" s="11" t="s">
        <v>120</v>
      </c>
      <c r="B61" s="11" t="s">
        <v>121</v>
      </c>
      <c r="C61" s="11">
        <v>1507</v>
      </c>
      <c r="D61" s="15">
        <f t="shared" si="0"/>
        <v>3.0139999999999998</v>
      </c>
      <c r="F61" s="11" t="s">
        <v>378</v>
      </c>
      <c r="G61" s="11" t="s">
        <v>379</v>
      </c>
      <c r="H61" s="11">
        <v>393</v>
      </c>
      <c r="I61" s="12">
        <f t="shared" si="1"/>
        <v>0.78600000000000003</v>
      </c>
      <c r="K61" s="11" t="s">
        <v>580</v>
      </c>
      <c r="L61" s="11" t="s">
        <v>581</v>
      </c>
      <c r="M61" s="11">
        <v>2440</v>
      </c>
      <c r="N61" s="15">
        <f t="shared" si="2"/>
        <v>4.88</v>
      </c>
    </row>
    <row r="62" spans="1:14" x14ac:dyDescent="0.25">
      <c r="A62" s="11" t="s">
        <v>122</v>
      </c>
      <c r="B62" s="11" t="s">
        <v>123</v>
      </c>
      <c r="C62" s="11">
        <v>708</v>
      </c>
      <c r="D62" s="15">
        <f t="shared" si="0"/>
        <v>1.4159999999999999</v>
      </c>
      <c r="F62" s="11" t="s">
        <v>380</v>
      </c>
      <c r="G62" s="11" t="s">
        <v>381</v>
      </c>
      <c r="H62" s="11">
        <v>381</v>
      </c>
      <c r="I62" s="12">
        <f t="shared" si="1"/>
        <v>0.76200000000000001</v>
      </c>
      <c r="K62" s="11" t="s">
        <v>582</v>
      </c>
      <c r="L62" s="11" t="s">
        <v>583</v>
      </c>
      <c r="M62" s="11">
        <v>675</v>
      </c>
      <c r="N62" s="15">
        <f t="shared" si="2"/>
        <v>1.35</v>
      </c>
    </row>
    <row r="63" spans="1:14" x14ac:dyDescent="0.25">
      <c r="A63" s="11" t="s">
        <v>124</v>
      </c>
      <c r="B63" s="11" t="s">
        <v>125</v>
      </c>
      <c r="C63" s="11">
        <v>1919</v>
      </c>
      <c r="D63" s="15">
        <f t="shared" si="0"/>
        <v>3.8380000000000001</v>
      </c>
      <c r="F63" s="11" t="s">
        <v>382</v>
      </c>
      <c r="G63" s="11" t="s">
        <v>383</v>
      </c>
      <c r="H63" s="11">
        <v>3046</v>
      </c>
      <c r="I63" s="12">
        <f t="shared" si="1"/>
        <v>6.0919999999999996</v>
      </c>
      <c r="K63" s="11" t="s">
        <v>584</v>
      </c>
      <c r="L63" s="11" t="s">
        <v>585</v>
      </c>
      <c r="M63" s="11">
        <v>1082</v>
      </c>
      <c r="N63" s="15">
        <f t="shared" si="2"/>
        <v>2.1640000000000001</v>
      </c>
    </row>
    <row r="64" spans="1:14" x14ac:dyDescent="0.25">
      <c r="A64" s="11" t="s">
        <v>126</v>
      </c>
      <c r="B64" s="11" t="s">
        <v>127</v>
      </c>
      <c r="C64" s="11">
        <v>1568</v>
      </c>
      <c r="D64" s="15">
        <f t="shared" si="0"/>
        <v>3.1360000000000001</v>
      </c>
      <c r="F64" s="11" t="s">
        <v>384</v>
      </c>
      <c r="G64" s="11" t="s">
        <v>385</v>
      </c>
      <c r="H64" s="11">
        <v>7096</v>
      </c>
      <c r="I64" s="12">
        <f t="shared" si="1"/>
        <v>14.192</v>
      </c>
      <c r="K64" s="11" t="s">
        <v>586</v>
      </c>
      <c r="L64" s="11" t="s">
        <v>587</v>
      </c>
      <c r="M64" s="11">
        <v>8613</v>
      </c>
      <c r="N64" s="15">
        <f t="shared" si="2"/>
        <v>17.225999999999999</v>
      </c>
    </row>
    <row r="65" spans="1:14" x14ac:dyDescent="0.25">
      <c r="A65" s="11" t="s">
        <v>776</v>
      </c>
      <c r="B65" s="11" t="s">
        <v>129</v>
      </c>
      <c r="C65" s="11">
        <v>658</v>
      </c>
      <c r="D65" s="15">
        <f t="shared" si="0"/>
        <v>1.3160000000000001</v>
      </c>
      <c r="F65" s="11" t="s">
        <v>386</v>
      </c>
      <c r="G65" s="11" t="s">
        <v>387</v>
      </c>
      <c r="H65" s="11">
        <v>772</v>
      </c>
      <c r="I65" s="12">
        <f t="shared" si="1"/>
        <v>1.544</v>
      </c>
      <c r="K65" s="11" t="s">
        <v>588</v>
      </c>
      <c r="L65" s="11" t="s">
        <v>589</v>
      </c>
      <c r="M65" s="11">
        <v>2944</v>
      </c>
      <c r="N65" s="15">
        <f t="shared" si="2"/>
        <v>5.8879999999999999</v>
      </c>
    </row>
    <row r="66" spans="1:14" x14ac:dyDescent="0.25">
      <c r="A66" s="11" t="s">
        <v>130</v>
      </c>
      <c r="B66" s="11" t="s">
        <v>131</v>
      </c>
      <c r="C66" s="11">
        <v>3654</v>
      </c>
      <c r="D66" s="15">
        <f t="shared" si="0"/>
        <v>7.3079999999999998</v>
      </c>
      <c r="F66" s="11" t="s">
        <v>388</v>
      </c>
      <c r="G66" s="11" t="s">
        <v>389</v>
      </c>
      <c r="H66" s="11">
        <v>335</v>
      </c>
      <c r="I66" s="12">
        <f t="shared" si="1"/>
        <v>0.67</v>
      </c>
      <c r="K66" s="11" t="s">
        <v>590</v>
      </c>
      <c r="L66" s="11" t="s">
        <v>591</v>
      </c>
      <c r="M66" s="11">
        <v>1243</v>
      </c>
      <c r="N66" s="15">
        <f t="shared" si="2"/>
        <v>2.4860000000000002</v>
      </c>
    </row>
    <row r="67" spans="1:14" x14ac:dyDescent="0.25">
      <c r="A67" s="11" t="s">
        <v>132</v>
      </c>
      <c r="B67" s="11" t="s">
        <v>133</v>
      </c>
      <c r="C67" s="11">
        <v>182</v>
      </c>
      <c r="D67" s="15">
        <f t="shared" si="0"/>
        <v>0.36399999999999999</v>
      </c>
      <c r="F67" s="11" t="s">
        <v>390</v>
      </c>
      <c r="G67" s="11" t="s">
        <v>391</v>
      </c>
      <c r="H67" s="11">
        <v>73</v>
      </c>
      <c r="I67" s="12">
        <f t="shared" si="1"/>
        <v>0.14599999999999999</v>
      </c>
      <c r="K67" s="11" t="s">
        <v>592</v>
      </c>
      <c r="L67" s="11" t="s">
        <v>593</v>
      </c>
      <c r="M67" s="11">
        <v>2257</v>
      </c>
      <c r="N67" s="15">
        <f t="shared" si="2"/>
        <v>4.5140000000000002</v>
      </c>
    </row>
    <row r="68" spans="1:14" x14ac:dyDescent="0.25">
      <c r="A68" s="11" t="s">
        <v>136</v>
      </c>
      <c r="B68" s="11" t="s">
        <v>137</v>
      </c>
      <c r="C68" s="11">
        <v>420</v>
      </c>
      <c r="D68" s="15">
        <f t="shared" ref="D68:D133" si="3">C68/500</f>
        <v>0.84</v>
      </c>
      <c r="F68" s="11" t="s">
        <v>5</v>
      </c>
      <c r="G68" s="11" t="s">
        <v>392</v>
      </c>
      <c r="H68" s="11">
        <v>2051</v>
      </c>
      <c r="I68" s="12">
        <f t="shared" ref="I68:I106" si="4">H68/500</f>
        <v>4.1020000000000003</v>
      </c>
      <c r="K68" s="11" t="s">
        <v>594</v>
      </c>
      <c r="L68" s="11" t="s">
        <v>595</v>
      </c>
      <c r="M68" s="11">
        <v>671</v>
      </c>
      <c r="N68" s="15">
        <f t="shared" ref="N68:N131" si="5">M68/500</f>
        <v>1.3420000000000001</v>
      </c>
    </row>
    <row r="69" spans="1:14" x14ac:dyDescent="0.25">
      <c r="A69" s="11" t="s">
        <v>18</v>
      </c>
      <c r="B69" s="11" t="s">
        <v>19</v>
      </c>
      <c r="C69" s="11">
        <v>954</v>
      </c>
      <c r="D69" s="15">
        <f t="shared" si="3"/>
        <v>1.9079999999999999</v>
      </c>
      <c r="F69" s="11" t="s">
        <v>393</v>
      </c>
      <c r="G69" s="11" t="s">
        <v>394</v>
      </c>
      <c r="H69" s="11">
        <v>558</v>
      </c>
      <c r="I69" s="12">
        <f t="shared" si="4"/>
        <v>1.1160000000000001</v>
      </c>
      <c r="K69" s="11" t="s">
        <v>596</v>
      </c>
      <c r="L69" s="11" t="s">
        <v>597</v>
      </c>
      <c r="M69" s="11">
        <v>2511</v>
      </c>
      <c r="N69" s="15">
        <f t="shared" si="5"/>
        <v>5.0220000000000002</v>
      </c>
    </row>
    <row r="70" spans="1:14" x14ac:dyDescent="0.25">
      <c r="A70" s="11" t="s">
        <v>30</v>
      </c>
      <c r="B70" s="11" t="s">
        <v>31</v>
      </c>
      <c r="C70" s="11">
        <v>734</v>
      </c>
      <c r="D70" s="15">
        <f t="shared" si="3"/>
        <v>1.468</v>
      </c>
      <c r="F70" s="11" t="s">
        <v>395</v>
      </c>
      <c r="G70" s="11" t="s">
        <v>396</v>
      </c>
      <c r="H70" s="11">
        <v>3620</v>
      </c>
      <c r="I70" s="12">
        <f t="shared" si="4"/>
        <v>7.24</v>
      </c>
      <c r="K70" s="11" t="s">
        <v>598</v>
      </c>
      <c r="L70" s="11" t="s">
        <v>599</v>
      </c>
      <c r="M70" s="11">
        <v>1972</v>
      </c>
      <c r="N70" s="15">
        <f t="shared" si="5"/>
        <v>3.944</v>
      </c>
    </row>
    <row r="71" spans="1:14" x14ac:dyDescent="0.25">
      <c r="A71" s="11" t="s">
        <v>134</v>
      </c>
      <c r="B71" s="11" t="s">
        <v>135</v>
      </c>
      <c r="C71" s="11">
        <v>0</v>
      </c>
      <c r="D71" s="15">
        <f t="shared" si="3"/>
        <v>0</v>
      </c>
      <c r="F71" s="11" t="s">
        <v>397</v>
      </c>
      <c r="G71" s="11" t="s">
        <v>398</v>
      </c>
      <c r="H71" s="11">
        <v>3673</v>
      </c>
      <c r="I71" s="12">
        <f t="shared" si="4"/>
        <v>7.3460000000000001</v>
      </c>
      <c r="K71" s="11" t="s">
        <v>600</v>
      </c>
      <c r="L71" s="11" t="s">
        <v>601</v>
      </c>
      <c r="M71" s="11">
        <v>3946</v>
      </c>
      <c r="N71" s="15">
        <f t="shared" si="5"/>
        <v>7.8920000000000003</v>
      </c>
    </row>
    <row r="72" spans="1:14" x14ac:dyDescent="0.25">
      <c r="A72" s="11" t="s">
        <v>138</v>
      </c>
      <c r="B72" s="11" t="s">
        <v>139</v>
      </c>
      <c r="C72" s="11">
        <v>25</v>
      </c>
      <c r="D72" s="15">
        <f t="shared" si="3"/>
        <v>0.05</v>
      </c>
      <c r="F72" s="11" t="s">
        <v>399</v>
      </c>
      <c r="G72" s="11" t="s">
        <v>400</v>
      </c>
      <c r="H72" s="11">
        <v>8407</v>
      </c>
      <c r="I72" s="12">
        <f t="shared" si="4"/>
        <v>16.814</v>
      </c>
      <c r="K72" s="11" t="s">
        <v>602</v>
      </c>
      <c r="L72" s="11" t="s">
        <v>603</v>
      </c>
      <c r="M72" s="11">
        <v>711</v>
      </c>
      <c r="N72" s="15">
        <f t="shared" si="5"/>
        <v>1.4219999999999999</v>
      </c>
    </row>
    <row r="73" spans="1:14" x14ac:dyDescent="0.25">
      <c r="A73" s="11" t="s">
        <v>138</v>
      </c>
      <c r="B73" s="11" t="s">
        <v>140</v>
      </c>
      <c r="C73" s="11">
        <v>3075</v>
      </c>
      <c r="D73" s="15">
        <f t="shared" si="3"/>
        <v>6.15</v>
      </c>
      <c r="F73" s="11" t="s">
        <v>401</v>
      </c>
      <c r="G73" s="11" t="s">
        <v>402</v>
      </c>
      <c r="H73" s="11">
        <v>0</v>
      </c>
      <c r="I73" s="12">
        <f t="shared" si="4"/>
        <v>0</v>
      </c>
      <c r="K73" s="11" t="s">
        <v>604</v>
      </c>
      <c r="L73" s="11" t="s">
        <v>605</v>
      </c>
      <c r="M73" s="11">
        <v>10336</v>
      </c>
      <c r="N73" s="15">
        <f t="shared" si="5"/>
        <v>20.672000000000001</v>
      </c>
    </row>
    <row r="74" spans="1:14" x14ac:dyDescent="0.25">
      <c r="A74" s="11" t="s">
        <v>141</v>
      </c>
      <c r="B74" s="11" t="s">
        <v>142</v>
      </c>
      <c r="C74" s="11">
        <v>0</v>
      </c>
      <c r="D74" s="15">
        <f t="shared" si="3"/>
        <v>0</v>
      </c>
      <c r="F74" s="11" t="s">
        <v>403</v>
      </c>
      <c r="G74" s="11" t="s">
        <v>404</v>
      </c>
      <c r="H74" s="11">
        <v>2005</v>
      </c>
      <c r="I74" s="12">
        <f t="shared" si="4"/>
        <v>4.01</v>
      </c>
      <c r="K74" s="11" t="s">
        <v>606</v>
      </c>
      <c r="L74" s="11" t="s">
        <v>607</v>
      </c>
      <c r="M74" s="11">
        <v>950</v>
      </c>
      <c r="N74" s="15">
        <f t="shared" si="5"/>
        <v>1.9</v>
      </c>
    </row>
    <row r="75" spans="1:14" x14ac:dyDescent="0.25">
      <c r="A75" s="11" t="s">
        <v>143</v>
      </c>
      <c r="B75" s="11" t="s">
        <v>144</v>
      </c>
      <c r="C75" s="11">
        <v>1615</v>
      </c>
      <c r="D75" s="15">
        <f t="shared" si="3"/>
        <v>3.23</v>
      </c>
      <c r="F75" s="11" t="s">
        <v>405</v>
      </c>
      <c r="G75" s="11" t="s">
        <v>406</v>
      </c>
      <c r="H75" s="11">
        <v>266</v>
      </c>
      <c r="I75" s="12">
        <f t="shared" si="4"/>
        <v>0.53200000000000003</v>
      </c>
      <c r="K75" s="11" t="s">
        <v>608</v>
      </c>
      <c r="L75" s="11" t="s">
        <v>609</v>
      </c>
      <c r="M75" s="11">
        <v>390</v>
      </c>
      <c r="N75" s="15">
        <f t="shared" si="5"/>
        <v>0.78</v>
      </c>
    </row>
    <row r="76" spans="1:14" x14ac:dyDescent="0.25">
      <c r="A76" s="11" t="s">
        <v>145</v>
      </c>
      <c r="B76" s="11" t="s">
        <v>146</v>
      </c>
      <c r="C76" s="11">
        <v>75</v>
      </c>
      <c r="D76" s="15">
        <f t="shared" si="3"/>
        <v>0.15</v>
      </c>
      <c r="F76" s="11" t="s">
        <v>407</v>
      </c>
      <c r="G76" s="11" t="s">
        <v>408</v>
      </c>
      <c r="H76" s="11">
        <v>1586</v>
      </c>
      <c r="I76" s="12">
        <f t="shared" si="4"/>
        <v>3.1720000000000002</v>
      </c>
      <c r="K76" s="11" t="s">
        <v>610</v>
      </c>
      <c r="L76" s="11" t="s">
        <v>611</v>
      </c>
      <c r="M76" s="11">
        <v>1467</v>
      </c>
      <c r="N76" s="15">
        <f t="shared" si="5"/>
        <v>2.9340000000000002</v>
      </c>
    </row>
    <row r="77" spans="1:14" x14ac:dyDescent="0.25">
      <c r="A77" s="11" t="s">
        <v>147</v>
      </c>
      <c r="B77" s="11" t="s">
        <v>148</v>
      </c>
      <c r="C77" s="11">
        <v>5711</v>
      </c>
      <c r="D77" s="15">
        <f t="shared" si="3"/>
        <v>11.422000000000001</v>
      </c>
      <c r="F77" s="11" t="s">
        <v>409</v>
      </c>
      <c r="G77" s="11" t="s">
        <v>410</v>
      </c>
      <c r="H77" s="11">
        <v>1107</v>
      </c>
      <c r="I77" s="12">
        <f t="shared" si="4"/>
        <v>2.214</v>
      </c>
      <c r="K77" s="11" t="s">
        <v>612</v>
      </c>
      <c r="L77" s="11" t="s">
        <v>613</v>
      </c>
      <c r="M77" s="11">
        <v>5108</v>
      </c>
      <c r="N77" s="15">
        <f t="shared" si="5"/>
        <v>10.215999999999999</v>
      </c>
    </row>
    <row r="78" spans="1:14" x14ac:dyDescent="0.25">
      <c r="A78" s="11" t="s">
        <v>149</v>
      </c>
      <c r="B78" s="11" t="s">
        <v>150</v>
      </c>
      <c r="C78" s="11">
        <v>2577</v>
      </c>
      <c r="D78" s="15">
        <f t="shared" si="3"/>
        <v>5.1539999999999999</v>
      </c>
      <c r="F78" s="11" t="s">
        <v>411</v>
      </c>
      <c r="G78" s="11" t="s">
        <v>412</v>
      </c>
      <c r="H78" s="11">
        <v>1226</v>
      </c>
      <c r="I78" s="12">
        <f t="shared" si="4"/>
        <v>2.452</v>
      </c>
      <c r="K78" s="11" t="s">
        <v>614</v>
      </c>
      <c r="L78" s="11" t="s">
        <v>615</v>
      </c>
      <c r="M78" s="11">
        <v>2234</v>
      </c>
      <c r="N78" s="15">
        <f t="shared" si="5"/>
        <v>4.468</v>
      </c>
    </row>
    <row r="79" spans="1:14" x14ac:dyDescent="0.25">
      <c r="A79" s="11" t="s">
        <v>4</v>
      </c>
      <c r="B79" s="11" t="s">
        <v>151</v>
      </c>
      <c r="C79" s="11">
        <v>197</v>
      </c>
      <c r="D79" s="15">
        <f t="shared" si="3"/>
        <v>0.39400000000000002</v>
      </c>
      <c r="F79" s="11" t="s">
        <v>413</v>
      </c>
      <c r="G79" s="11" t="s">
        <v>414</v>
      </c>
      <c r="H79" s="11">
        <v>1068</v>
      </c>
      <c r="I79" s="12">
        <f t="shared" si="4"/>
        <v>2.1360000000000001</v>
      </c>
      <c r="K79" s="11" t="s">
        <v>616</v>
      </c>
      <c r="L79" s="11" t="s">
        <v>617</v>
      </c>
      <c r="M79" s="11">
        <v>325</v>
      </c>
      <c r="N79" s="15">
        <f t="shared" si="5"/>
        <v>0.65</v>
      </c>
    </row>
    <row r="80" spans="1:14" x14ac:dyDescent="0.25">
      <c r="A80" s="11" t="s">
        <v>152</v>
      </c>
      <c r="B80" s="11" t="s">
        <v>153</v>
      </c>
      <c r="C80" s="11">
        <v>0</v>
      </c>
      <c r="D80" s="15">
        <f t="shared" si="3"/>
        <v>0</v>
      </c>
      <c r="F80" s="11" t="s">
        <v>415</v>
      </c>
      <c r="G80" s="11" t="s">
        <v>416</v>
      </c>
      <c r="H80" s="11">
        <v>1193</v>
      </c>
      <c r="I80" s="12">
        <f t="shared" si="4"/>
        <v>2.3860000000000001</v>
      </c>
      <c r="K80" s="11" t="s">
        <v>618</v>
      </c>
      <c r="L80" s="11" t="s">
        <v>619</v>
      </c>
      <c r="M80" s="11">
        <v>7215</v>
      </c>
      <c r="N80" s="15">
        <f t="shared" si="5"/>
        <v>14.43</v>
      </c>
    </row>
    <row r="81" spans="1:14" x14ac:dyDescent="0.25">
      <c r="A81" s="11" t="s">
        <v>154</v>
      </c>
      <c r="B81" s="11" t="s">
        <v>155</v>
      </c>
      <c r="C81" s="11">
        <v>5101</v>
      </c>
      <c r="D81" s="15">
        <f t="shared" si="3"/>
        <v>10.202</v>
      </c>
      <c r="F81" s="11" t="s">
        <v>417</v>
      </c>
      <c r="G81" s="11" t="s">
        <v>418</v>
      </c>
      <c r="H81" s="11">
        <v>0</v>
      </c>
      <c r="I81" s="12">
        <f t="shared" si="4"/>
        <v>0</v>
      </c>
      <c r="K81" s="11" t="s">
        <v>620</v>
      </c>
      <c r="L81" s="11" t="s">
        <v>621</v>
      </c>
      <c r="M81" s="11">
        <v>4306</v>
      </c>
      <c r="N81" s="15">
        <f t="shared" si="5"/>
        <v>8.6120000000000001</v>
      </c>
    </row>
    <row r="82" spans="1:14" x14ac:dyDescent="0.25">
      <c r="A82" s="11" t="s">
        <v>156</v>
      </c>
      <c r="B82" s="11" t="s">
        <v>157</v>
      </c>
      <c r="C82" s="11">
        <v>2624</v>
      </c>
      <c r="D82" s="15">
        <f t="shared" si="3"/>
        <v>5.2480000000000002</v>
      </c>
      <c r="F82" s="11" t="s">
        <v>419</v>
      </c>
      <c r="G82" s="11" t="s">
        <v>420</v>
      </c>
      <c r="H82" s="11">
        <v>119</v>
      </c>
      <c r="I82" s="12">
        <f t="shared" si="4"/>
        <v>0.23799999999999999</v>
      </c>
      <c r="K82" s="11" t="s">
        <v>622</v>
      </c>
      <c r="L82" s="11" t="s">
        <v>623</v>
      </c>
      <c r="M82" s="11">
        <v>5917</v>
      </c>
      <c r="N82" s="15">
        <f t="shared" si="5"/>
        <v>11.834</v>
      </c>
    </row>
    <row r="83" spans="1:14" x14ac:dyDescent="0.25">
      <c r="A83" s="11" t="s">
        <v>158</v>
      </c>
      <c r="B83" s="11" t="s">
        <v>159</v>
      </c>
      <c r="C83" s="11">
        <v>955</v>
      </c>
      <c r="D83" s="15">
        <f t="shared" si="3"/>
        <v>1.91</v>
      </c>
      <c r="F83" s="11" t="s">
        <v>421</v>
      </c>
      <c r="G83" s="11" t="s">
        <v>422</v>
      </c>
      <c r="H83" s="11">
        <v>2138</v>
      </c>
      <c r="I83" s="12">
        <f t="shared" si="4"/>
        <v>4.2759999999999998</v>
      </c>
      <c r="K83" s="11" t="s">
        <v>624</v>
      </c>
      <c r="L83" s="11" t="s">
        <v>625</v>
      </c>
      <c r="M83" s="11">
        <v>4336</v>
      </c>
      <c r="N83" s="15">
        <f t="shared" si="5"/>
        <v>8.6720000000000006</v>
      </c>
    </row>
    <row r="84" spans="1:14" x14ac:dyDescent="0.25">
      <c r="A84" s="11" t="s">
        <v>160</v>
      </c>
      <c r="B84" s="11" t="s">
        <v>161</v>
      </c>
      <c r="C84" s="11">
        <v>8282</v>
      </c>
      <c r="D84" s="15">
        <f t="shared" si="3"/>
        <v>16.564</v>
      </c>
      <c r="F84" s="11" t="s">
        <v>423</v>
      </c>
      <c r="G84" s="11" t="s">
        <v>424</v>
      </c>
      <c r="H84" s="11">
        <v>587</v>
      </c>
      <c r="I84" s="12">
        <f t="shared" si="4"/>
        <v>1.1739999999999999</v>
      </c>
      <c r="K84" s="11" t="s">
        <v>626</v>
      </c>
      <c r="L84" s="11" t="s">
        <v>627</v>
      </c>
      <c r="M84" s="11">
        <v>6003</v>
      </c>
      <c r="N84" s="15">
        <f t="shared" si="5"/>
        <v>12.006</v>
      </c>
    </row>
    <row r="85" spans="1:14" x14ac:dyDescent="0.25">
      <c r="A85" s="11" t="s">
        <v>162</v>
      </c>
      <c r="B85" s="11" t="s">
        <v>163</v>
      </c>
      <c r="C85" s="11">
        <v>2754</v>
      </c>
      <c r="D85" s="15">
        <f t="shared" si="3"/>
        <v>5.508</v>
      </c>
      <c r="F85" s="11" t="s">
        <v>425</v>
      </c>
      <c r="G85" s="11" t="s">
        <v>426</v>
      </c>
      <c r="H85" s="11">
        <v>604</v>
      </c>
      <c r="I85" s="12">
        <f t="shared" si="4"/>
        <v>1.208</v>
      </c>
      <c r="K85" s="11" t="s">
        <v>628</v>
      </c>
      <c r="L85" s="11" t="s">
        <v>629</v>
      </c>
      <c r="M85" s="11">
        <v>2040</v>
      </c>
      <c r="N85" s="15">
        <f t="shared" si="5"/>
        <v>4.08</v>
      </c>
    </row>
    <row r="86" spans="1:14" x14ac:dyDescent="0.25">
      <c r="A86" s="11" t="s">
        <v>164</v>
      </c>
      <c r="B86" s="11" t="s">
        <v>165</v>
      </c>
      <c r="C86" s="11">
        <v>4741</v>
      </c>
      <c r="D86" s="15">
        <f t="shared" si="3"/>
        <v>9.4819999999999993</v>
      </c>
      <c r="F86" s="11" t="s">
        <v>427</v>
      </c>
      <c r="G86" s="11" t="s">
        <v>428</v>
      </c>
      <c r="H86" s="11">
        <v>970</v>
      </c>
      <c r="I86" s="12">
        <f t="shared" si="4"/>
        <v>1.94</v>
      </c>
      <c r="K86" s="11" t="s">
        <v>630</v>
      </c>
      <c r="L86" s="11" t="s">
        <v>631</v>
      </c>
      <c r="M86" s="11">
        <v>2821</v>
      </c>
      <c r="N86" s="15">
        <f t="shared" si="5"/>
        <v>5.6420000000000003</v>
      </c>
    </row>
    <row r="87" spans="1:14" x14ac:dyDescent="0.25">
      <c r="A87" s="11" t="s">
        <v>777</v>
      </c>
      <c r="B87" s="11" t="s">
        <v>469</v>
      </c>
      <c r="C87" s="11">
        <v>0</v>
      </c>
      <c r="D87" s="15">
        <f t="shared" si="3"/>
        <v>0</v>
      </c>
      <c r="F87" s="11" t="s">
        <v>429</v>
      </c>
      <c r="G87" s="11" t="s">
        <v>430</v>
      </c>
      <c r="H87" s="11">
        <v>368</v>
      </c>
      <c r="I87" s="12">
        <f t="shared" si="4"/>
        <v>0.73599999999999999</v>
      </c>
      <c r="K87" s="11" t="s">
        <v>632</v>
      </c>
      <c r="L87" s="11" t="s">
        <v>633</v>
      </c>
      <c r="M87" s="11">
        <v>4738</v>
      </c>
      <c r="N87" s="15">
        <f t="shared" si="5"/>
        <v>9.4760000000000009</v>
      </c>
    </row>
    <row r="88" spans="1:14" x14ac:dyDescent="0.25">
      <c r="A88" s="11" t="s">
        <v>170</v>
      </c>
      <c r="B88" s="11" t="s">
        <v>171</v>
      </c>
      <c r="C88" s="11">
        <v>4201</v>
      </c>
      <c r="D88" s="15">
        <f t="shared" si="3"/>
        <v>8.4019999999999992</v>
      </c>
      <c r="F88" s="11" t="s">
        <v>431</v>
      </c>
      <c r="G88" s="11" t="s">
        <v>432</v>
      </c>
      <c r="H88" s="11">
        <v>4662</v>
      </c>
      <c r="I88" s="12">
        <f t="shared" si="4"/>
        <v>9.3239999999999998</v>
      </c>
      <c r="K88" s="11" t="s">
        <v>634</v>
      </c>
      <c r="L88" s="11" t="s">
        <v>635</v>
      </c>
      <c r="M88" s="11">
        <v>19</v>
      </c>
      <c r="N88" s="15">
        <f t="shared" si="5"/>
        <v>3.7999999999999999E-2</v>
      </c>
    </row>
    <row r="89" spans="1:14" x14ac:dyDescent="0.25">
      <c r="A89" s="11" t="s">
        <v>172</v>
      </c>
      <c r="B89" s="11" t="s">
        <v>173</v>
      </c>
      <c r="C89" s="11">
        <v>183</v>
      </c>
      <c r="D89" s="15">
        <f t="shared" si="3"/>
        <v>0.36599999999999999</v>
      </c>
      <c r="F89" s="11" t="s">
        <v>433</v>
      </c>
      <c r="G89" s="11" t="s">
        <v>434</v>
      </c>
      <c r="H89" s="11">
        <v>3458</v>
      </c>
      <c r="I89" s="12">
        <f t="shared" si="4"/>
        <v>6.9160000000000004</v>
      </c>
      <c r="K89" s="11" t="s">
        <v>636</v>
      </c>
      <c r="L89" s="11" t="s">
        <v>637</v>
      </c>
      <c r="M89" s="11">
        <v>1195</v>
      </c>
      <c r="N89" s="15">
        <f t="shared" si="5"/>
        <v>2.39</v>
      </c>
    </row>
    <row r="90" spans="1:14" x14ac:dyDescent="0.25">
      <c r="A90" s="11" t="s">
        <v>174</v>
      </c>
      <c r="B90" s="11" t="s">
        <v>175</v>
      </c>
      <c r="C90" s="11">
        <v>1009</v>
      </c>
      <c r="D90" s="15">
        <f t="shared" si="3"/>
        <v>2.0179999999999998</v>
      </c>
      <c r="F90" s="11" t="s">
        <v>435</v>
      </c>
      <c r="G90" s="11" t="s">
        <v>436</v>
      </c>
      <c r="H90" s="11">
        <v>126</v>
      </c>
      <c r="I90" s="12">
        <f t="shared" si="4"/>
        <v>0.252</v>
      </c>
      <c r="K90" s="11" t="s">
        <v>638</v>
      </c>
      <c r="L90" s="11" t="s">
        <v>639</v>
      </c>
      <c r="M90" s="11">
        <v>416</v>
      </c>
      <c r="N90" s="15">
        <f t="shared" si="5"/>
        <v>0.83199999999999996</v>
      </c>
    </row>
    <row r="91" spans="1:14" x14ac:dyDescent="0.25">
      <c r="A91" s="11" t="s">
        <v>176</v>
      </c>
      <c r="B91" s="11" t="s">
        <v>177</v>
      </c>
      <c r="C91" s="11">
        <v>6207</v>
      </c>
      <c r="D91" s="15">
        <f t="shared" si="3"/>
        <v>12.414</v>
      </c>
      <c r="F91" s="11" t="s">
        <v>433</v>
      </c>
      <c r="G91" s="11" t="s">
        <v>437</v>
      </c>
      <c r="H91" s="11">
        <v>0</v>
      </c>
      <c r="I91" s="12">
        <f t="shared" si="4"/>
        <v>0</v>
      </c>
      <c r="K91" s="11" t="s">
        <v>640</v>
      </c>
      <c r="L91" s="11" t="s">
        <v>641</v>
      </c>
      <c r="M91" s="11">
        <v>37657</v>
      </c>
      <c r="N91" s="15">
        <f t="shared" si="5"/>
        <v>75.313999999999993</v>
      </c>
    </row>
    <row r="92" spans="1:14" x14ac:dyDescent="0.25">
      <c r="A92" s="11" t="s">
        <v>118</v>
      </c>
      <c r="B92" s="11" t="s">
        <v>178</v>
      </c>
      <c r="C92" s="11">
        <v>356</v>
      </c>
      <c r="D92" s="15">
        <f t="shared" si="3"/>
        <v>0.71199999999999997</v>
      </c>
      <c r="F92" s="11" t="s">
        <v>438</v>
      </c>
      <c r="G92" s="11" t="s">
        <v>439</v>
      </c>
      <c r="H92" s="11">
        <v>428</v>
      </c>
      <c r="I92" s="12">
        <f t="shared" si="4"/>
        <v>0.85599999999999998</v>
      </c>
      <c r="K92" s="11" t="s">
        <v>642</v>
      </c>
      <c r="L92" s="11" t="s">
        <v>643</v>
      </c>
      <c r="M92" s="11">
        <v>819</v>
      </c>
      <c r="N92" s="15">
        <f t="shared" si="5"/>
        <v>1.6379999999999999</v>
      </c>
    </row>
    <row r="93" spans="1:14" x14ac:dyDescent="0.25">
      <c r="A93" s="11" t="s">
        <v>179</v>
      </c>
      <c r="B93" s="11" t="s">
        <v>180</v>
      </c>
      <c r="C93" s="11">
        <v>2</v>
      </c>
      <c r="D93" s="15">
        <f t="shared" si="3"/>
        <v>4.0000000000000001E-3</v>
      </c>
      <c r="F93" s="11" t="s">
        <v>440</v>
      </c>
      <c r="G93" s="11" t="s">
        <v>441</v>
      </c>
      <c r="H93" s="11">
        <v>2396</v>
      </c>
      <c r="I93" s="12">
        <f t="shared" si="4"/>
        <v>4.7919999999999998</v>
      </c>
      <c r="K93" s="11" t="s">
        <v>644</v>
      </c>
      <c r="L93" s="11" t="s">
        <v>645</v>
      </c>
      <c r="M93" s="11">
        <v>1814</v>
      </c>
      <c r="N93" s="15">
        <f t="shared" si="5"/>
        <v>3.6280000000000001</v>
      </c>
    </row>
    <row r="94" spans="1:14" x14ac:dyDescent="0.25">
      <c r="A94" s="11" t="s">
        <v>181</v>
      </c>
      <c r="B94" s="11" t="s">
        <v>182</v>
      </c>
      <c r="C94" s="11">
        <v>2206</v>
      </c>
      <c r="D94" s="15">
        <f t="shared" si="3"/>
        <v>4.4119999999999999</v>
      </c>
      <c r="F94" s="11" t="s">
        <v>442</v>
      </c>
      <c r="G94" s="11" t="s">
        <v>443</v>
      </c>
      <c r="H94" s="11">
        <v>3225</v>
      </c>
      <c r="I94" s="12">
        <f t="shared" si="4"/>
        <v>6.45</v>
      </c>
      <c r="K94" s="11" t="s">
        <v>646</v>
      </c>
      <c r="L94" s="11" t="s">
        <v>647</v>
      </c>
      <c r="M94" s="11">
        <v>10477</v>
      </c>
      <c r="N94" s="15">
        <f t="shared" si="5"/>
        <v>20.954000000000001</v>
      </c>
    </row>
    <row r="95" spans="1:14" x14ac:dyDescent="0.25">
      <c r="A95" s="11" t="s">
        <v>183</v>
      </c>
      <c r="B95" s="11" t="s">
        <v>184</v>
      </c>
      <c r="C95" s="11">
        <v>3229</v>
      </c>
      <c r="D95" s="15">
        <f t="shared" si="3"/>
        <v>6.4580000000000002</v>
      </c>
      <c r="F95" s="11" t="s">
        <v>444</v>
      </c>
      <c r="G95" s="11" t="s">
        <v>445</v>
      </c>
      <c r="H95" s="11">
        <v>1092</v>
      </c>
      <c r="I95" s="12">
        <f t="shared" si="4"/>
        <v>2.1840000000000002</v>
      </c>
      <c r="K95" s="11" t="s">
        <v>648</v>
      </c>
      <c r="L95" s="11" t="s">
        <v>649</v>
      </c>
      <c r="M95" s="11">
        <v>7959</v>
      </c>
      <c r="N95" s="15">
        <f t="shared" si="5"/>
        <v>15.917999999999999</v>
      </c>
    </row>
    <row r="96" spans="1:14" x14ac:dyDescent="0.25">
      <c r="A96" s="11" t="s">
        <v>185</v>
      </c>
      <c r="B96" s="11" t="s">
        <v>186</v>
      </c>
      <c r="C96" s="11">
        <v>2434</v>
      </c>
      <c r="D96" s="15">
        <f t="shared" si="3"/>
        <v>4.8680000000000003</v>
      </c>
      <c r="F96" s="11" t="s">
        <v>446</v>
      </c>
      <c r="G96" s="11" t="s">
        <v>447</v>
      </c>
      <c r="H96" s="11">
        <v>4183</v>
      </c>
      <c r="I96" s="12">
        <f t="shared" si="4"/>
        <v>8.3659999999999997</v>
      </c>
      <c r="K96" s="11" t="s">
        <v>650</v>
      </c>
      <c r="L96" s="11" t="s">
        <v>651</v>
      </c>
      <c r="M96" s="11">
        <v>23927</v>
      </c>
      <c r="N96" s="15">
        <f t="shared" si="5"/>
        <v>47.853999999999999</v>
      </c>
    </row>
    <row r="97" spans="1:14" x14ac:dyDescent="0.25">
      <c r="A97" s="11" t="s">
        <v>187</v>
      </c>
      <c r="B97" s="11" t="s">
        <v>188</v>
      </c>
      <c r="C97" s="11">
        <v>747</v>
      </c>
      <c r="D97" s="15">
        <f t="shared" si="3"/>
        <v>1.494</v>
      </c>
      <c r="F97" s="11" t="s">
        <v>448</v>
      </c>
      <c r="G97" s="11" t="s">
        <v>449</v>
      </c>
      <c r="H97" s="11">
        <v>895</v>
      </c>
      <c r="I97" s="12">
        <f t="shared" si="4"/>
        <v>1.79</v>
      </c>
      <c r="K97" s="11" t="s">
        <v>652</v>
      </c>
      <c r="L97" s="11" t="s">
        <v>653</v>
      </c>
      <c r="M97" s="11">
        <v>1680</v>
      </c>
      <c r="N97" s="15">
        <f t="shared" si="5"/>
        <v>3.36</v>
      </c>
    </row>
    <row r="98" spans="1:14" x14ac:dyDescent="0.25">
      <c r="A98" s="11" t="s">
        <v>189</v>
      </c>
      <c r="B98" s="11" t="s">
        <v>190</v>
      </c>
      <c r="C98" s="11">
        <v>2341</v>
      </c>
      <c r="D98" s="15">
        <f t="shared" si="3"/>
        <v>4.6820000000000004</v>
      </c>
      <c r="F98" s="11" t="s">
        <v>450</v>
      </c>
      <c r="G98" s="11" t="s">
        <v>451</v>
      </c>
      <c r="H98" s="11">
        <v>4456</v>
      </c>
      <c r="I98" s="12">
        <f t="shared" si="4"/>
        <v>8.9120000000000008</v>
      </c>
      <c r="K98" s="11" t="s">
        <v>654</v>
      </c>
      <c r="L98" s="11" t="s">
        <v>655</v>
      </c>
      <c r="M98" s="11">
        <v>851</v>
      </c>
      <c r="N98" s="15">
        <f t="shared" si="5"/>
        <v>1.702</v>
      </c>
    </row>
    <row r="99" spans="1:14" x14ac:dyDescent="0.25">
      <c r="A99" s="11" t="s">
        <v>191</v>
      </c>
      <c r="B99" s="11" t="s">
        <v>192</v>
      </c>
      <c r="C99" s="11">
        <v>3994</v>
      </c>
      <c r="D99" s="15">
        <f t="shared" si="3"/>
        <v>7.9880000000000004</v>
      </c>
      <c r="F99" s="11" t="s">
        <v>285</v>
      </c>
      <c r="G99" s="11" t="s">
        <v>452</v>
      </c>
      <c r="H99" s="11">
        <v>6374</v>
      </c>
      <c r="I99" s="12">
        <f t="shared" si="4"/>
        <v>12.747999999999999</v>
      </c>
      <c r="K99" s="11" t="s">
        <v>656</v>
      </c>
      <c r="L99" s="11" t="s">
        <v>657</v>
      </c>
      <c r="M99" s="11">
        <v>857</v>
      </c>
      <c r="N99" s="15">
        <f t="shared" si="5"/>
        <v>1.714</v>
      </c>
    </row>
    <row r="100" spans="1:14" x14ac:dyDescent="0.25">
      <c r="A100" s="11" t="s">
        <v>193</v>
      </c>
      <c r="B100" s="11" t="s">
        <v>194</v>
      </c>
      <c r="C100" s="11">
        <v>1527</v>
      </c>
      <c r="D100" s="15">
        <f t="shared" si="3"/>
        <v>3.0539999999999998</v>
      </c>
      <c r="F100" s="11" t="s">
        <v>453</v>
      </c>
      <c r="G100" s="11" t="s">
        <v>454</v>
      </c>
      <c r="H100" s="11">
        <v>1855</v>
      </c>
      <c r="I100" s="12">
        <f t="shared" si="4"/>
        <v>3.71</v>
      </c>
      <c r="K100" s="11" t="s">
        <v>658</v>
      </c>
      <c r="L100" s="11" t="s">
        <v>659</v>
      </c>
      <c r="M100" s="11">
        <v>1068</v>
      </c>
      <c r="N100" s="15">
        <f t="shared" si="5"/>
        <v>2.1360000000000001</v>
      </c>
    </row>
    <row r="101" spans="1:14" x14ac:dyDescent="0.25">
      <c r="A101" s="11" t="s">
        <v>195</v>
      </c>
      <c r="B101" s="11" t="s">
        <v>196</v>
      </c>
      <c r="C101" s="11">
        <v>1533</v>
      </c>
      <c r="D101" s="15">
        <f t="shared" si="3"/>
        <v>3.0659999999999998</v>
      </c>
      <c r="F101" s="11" t="s">
        <v>329</v>
      </c>
      <c r="G101" s="11" t="s">
        <v>455</v>
      </c>
      <c r="H101" s="11">
        <v>861</v>
      </c>
      <c r="I101" s="12">
        <f t="shared" si="4"/>
        <v>1.722</v>
      </c>
      <c r="K101" s="11" t="s">
        <v>660</v>
      </c>
      <c r="L101" s="11" t="s">
        <v>661</v>
      </c>
      <c r="M101" s="11">
        <v>1163</v>
      </c>
      <c r="N101" s="15">
        <f t="shared" si="5"/>
        <v>2.3260000000000001</v>
      </c>
    </row>
    <row r="102" spans="1:14" x14ac:dyDescent="0.25">
      <c r="A102" s="11" t="s">
        <v>197</v>
      </c>
      <c r="B102" s="11" t="s">
        <v>198</v>
      </c>
      <c r="C102" s="11">
        <v>1342</v>
      </c>
      <c r="D102" s="15">
        <f t="shared" si="3"/>
        <v>2.6840000000000002</v>
      </c>
      <c r="F102" s="11" t="s">
        <v>345</v>
      </c>
      <c r="G102" s="11" t="s">
        <v>456</v>
      </c>
      <c r="H102" s="11">
        <v>57</v>
      </c>
      <c r="I102" s="12">
        <f t="shared" si="4"/>
        <v>0.114</v>
      </c>
      <c r="K102" s="11" t="s">
        <v>662</v>
      </c>
      <c r="L102" s="11" t="s">
        <v>663</v>
      </c>
      <c r="M102" s="11">
        <v>0</v>
      </c>
      <c r="N102" s="15">
        <f t="shared" si="5"/>
        <v>0</v>
      </c>
    </row>
    <row r="103" spans="1:14" x14ac:dyDescent="0.25">
      <c r="A103" s="11" t="s">
        <v>199</v>
      </c>
      <c r="B103" s="11" t="s">
        <v>200</v>
      </c>
      <c r="C103" s="11">
        <v>6594</v>
      </c>
      <c r="D103" s="15">
        <f t="shared" si="3"/>
        <v>13.188000000000001</v>
      </c>
      <c r="F103" s="11" t="s">
        <v>457</v>
      </c>
      <c r="G103" s="11" t="s">
        <v>458</v>
      </c>
      <c r="H103" s="11">
        <v>6646</v>
      </c>
      <c r="I103" s="12">
        <f t="shared" si="4"/>
        <v>13.292</v>
      </c>
      <c r="K103" s="11" t="s">
        <v>665</v>
      </c>
      <c r="L103" s="11" t="s">
        <v>666</v>
      </c>
      <c r="M103" s="11">
        <v>3442</v>
      </c>
      <c r="N103" s="15">
        <f t="shared" si="5"/>
        <v>6.8840000000000003</v>
      </c>
    </row>
    <row r="104" spans="1:14" x14ac:dyDescent="0.25">
      <c r="A104" s="11" t="s">
        <v>201</v>
      </c>
      <c r="B104" s="11" t="s">
        <v>202</v>
      </c>
      <c r="C104" s="11">
        <v>2111</v>
      </c>
      <c r="D104" s="15">
        <f t="shared" si="3"/>
        <v>4.2220000000000004</v>
      </c>
      <c r="F104" s="11" t="s">
        <v>459</v>
      </c>
      <c r="G104" s="11" t="s">
        <v>460</v>
      </c>
      <c r="H104" s="11">
        <v>2809</v>
      </c>
      <c r="I104" s="12">
        <f t="shared" si="4"/>
        <v>5.6180000000000003</v>
      </c>
      <c r="K104" s="11" t="s">
        <v>667</v>
      </c>
      <c r="L104" s="11" t="s">
        <v>668</v>
      </c>
      <c r="M104" s="11">
        <v>0</v>
      </c>
      <c r="N104" s="15">
        <f t="shared" si="5"/>
        <v>0</v>
      </c>
    </row>
    <row r="105" spans="1:14" x14ac:dyDescent="0.25">
      <c r="A105" s="11" t="s">
        <v>203</v>
      </c>
      <c r="B105" s="11" t="s">
        <v>204</v>
      </c>
      <c r="C105" s="11">
        <v>1133</v>
      </c>
      <c r="D105" s="15">
        <f t="shared" si="3"/>
        <v>2.266</v>
      </c>
      <c r="F105" s="11" t="s">
        <v>461</v>
      </c>
      <c r="G105" s="11" t="s">
        <v>462</v>
      </c>
      <c r="H105" s="11">
        <v>116</v>
      </c>
      <c r="I105" s="12">
        <f t="shared" si="4"/>
        <v>0.23200000000000001</v>
      </c>
      <c r="K105" s="11" t="s">
        <v>669</v>
      </c>
      <c r="L105" s="11" t="s">
        <v>670</v>
      </c>
      <c r="M105" s="11">
        <v>0</v>
      </c>
      <c r="N105" s="15">
        <f t="shared" si="5"/>
        <v>0</v>
      </c>
    </row>
    <row r="106" spans="1:14" x14ac:dyDescent="0.25">
      <c r="A106" s="11" t="s">
        <v>205</v>
      </c>
      <c r="B106" s="11" t="s">
        <v>206</v>
      </c>
      <c r="C106" s="11">
        <v>585</v>
      </c>
      <c r="D106" s="15">
        <f t="shared" si="3"/>
        <v>1.17</v>
      </c>
      <c r="F106" s="11"/>
      <c r="G106" s="11"/>
      <c r="H106" s="11"/>
      <c r="I106" s="12">
        <f t="shared" si="4"/>
        <v>0</v>
      </c>
      <c r="K106" s="11" t="s">
        <v>671</v>
      </c>
      <c r="L106" s="11" t="s">
        <v>672</v>
      </c>
      <c r="M106" s="11">
        <v>3295</v>
      </c>
      <c r="N106" s="15">
        <f t="shared" si="5"/>
        <v>6.59</v>
      </c>
    </row>
    <row r="107" spans="1:14" x14ac:dyDescent="0.25">
      <c r="A107" s="11" t="s">
        <v>207</v>
      </c>
      <c r="B107" s="11" t="s">
        <v>208</v>
      </c>
      <c r="C107" s="11">
        <v>2257</v>
      </c>
      <c r="D107" s="15">
        <f t="shared" si="3"/>
        <v>4.5140000000000002</v>
      </c>
      <c r="K107" s="11" t="s">
        <v>673</v>
      </c>
      <c r="L107" s="11" t="s">
        <v>674</v>
      </c>
      <c r="M107" s="11">
        <v>5466</v>
      </c>
      <c r="N107" s="15">
        <f t="shared" si="5"/>
        <v>10.932</v>
      </c>
    </row>
    <row r="108" spans="1:14" x14ac:dyDescent="0.25">
      <c r="A108" s="11" t="s">
        <v>209</v>
      </c>
      <c r="B108" s="11" t="s">
        <v>210</v>
      </c>
      <c r="C108" s="11">
        <v>924</v>
      </c>
      <c r="D108" s="15">
        <f t="shared" si="3"/>
        <v>1.8480000000000001</v>
      </c>
      <c r="K108" s="11" t="s">
        <v>675</v>
      </c>
      <c r="L108" s="11" t="s">
        <v>676</v>
      </c>
      <c r="M108" s="11">
        <v>3179</v>
      </c>
      <c r="N108" s="15">
        <f t="shared" si="5"/>
        <v>6.3579999999999997</v>
      </c>
    </row>
    <row r="109" spans="1:14" x14ac:dyDescent="0.25">
      <c r="A109" s="11" t="s">
        <v>211</v>
      </c>
      <c r="B109" s="11" t="s">
        <v>212</v>
      </c>
      <c r="C109" s="11">
        <v>16651</v>
      </c>
      <c r="D109" s="15">
        <f t="shared" si="3"/>
        <v>33.302</v>
      </c>
      <c r="K109" s="11" t="s">
        <v>677</v>
      </c>
      <c r="L109" s="11" t="s">
        <v>678</v>
      </c>
      <c r="M109" s="11">
        <v>0</v>
      </c>
      <c r="N109" s="15">
        <f t="shared" si="5"/>
        <v>0</v>
      </c>
    </row>
    <row r="110" spans="1:14" x14ac:dyDescent="0.25">
      <c r="A110" s="11" t="s">
        <v>213</v>
      </c>
      <c r="B110" s="11" t="s">
        <v>214</v>
      </c>
      <c r="C110" s="11">
        <v>2427</v>
      </c>
      <c r="D110" s="15">
        <f t="shared" si="3"/>
        <v>4.8540000000000001</v>
      </c>
      <c r="K110" s="11" t="s">
        <v>679</v>
      </c>
      <c r="L110" s="11" t="s">
        <v>680</v>
      </c>
      <c r="M110" s="11">
        <v>0</v>
      </c>
      <c r="N110" s="15">
        <f t="shared" si="5"/>
        <v>0</v>
      </c>
    </row>
    <row r="111" spans="1:14" x14ac:dyDescent="0.25">
      <c r="A111" s="11" t="s">
        <v>215</v>
      </c>
      <c r="B111" s="11" t="s">
        <v>216</v>
      </c>
      <c r="C111" s="11">
        <v>8641</v>
      </c>
      <c r="D111" s="15">
        <f t="shared" si="3"/>
        <v>17.282</v>
      </c>
      <c r="K111" s="11" t="s">
        <v>681</v>
      </c>
      <c r="L111" s="11" t="s">
        <v>682</v>
      </c>
      <c r="M111" s="11">
        <v>3621</v>
      </c>
      <c r="N111" s="15">
        <f t="shared" si="5"/>
        <v>7.242</v>
      </c>
    </row>
    <row r="112" spans="1:14" x14ac:dyDescent="0.25">
      <c r="A112" s="11" t="s">
        <v>217</v>
      </c>
      <c r="B112" s="11" t="s">
        <v>218</v>
      </c>
      <c r="C112" s="11">
        <v>1010</v>
      </c>
      <c r="D112" s="15">
        <f t="shared" si="3"/>
        <v>2.02</v>
      </c>
      <c r="K112" s="11" t="s">
        <v>773</v>
      </c>
      <c r="L112" s="11" t="s">
        <v>774</v>
      </c>
      <c r="M112" s="11">
        <v>0</v>
      </c>
      <c r="N112" s="15">
        <f t="shared" si="5"/>
        <v>0</v>
      </c>
    </row>
    <row r="113" spans="1:14" x14ac:dyDescent="0.25">
      <c r="A113" s="11" t="s">
        <v>219</v>
      </c>
      <c r="B113" s="11" t="s">
        <v>220</v>
      </c>
      <c r="C113" s="11">
        <v>18</v>
      </c>
      <c r="D113" s="15">
        <f t="shared" si="3"/>
        <v>3.5999999999999997E-2</v>
      </c>
      <c r="K113" s="11" t="s">
        <v>775</v>
      </c>
      <c r="L113" s="11" t="s">
        <v>169</v>
      </c>
      <c r="M113" s="11">
        <v>0</v>
      </c>
      <c r="N113" s="15">
        <f t="shared" si="5"/>
        <v>0</v>
      </c>
    </row>
    <row r="114" spans="1:14" x14ac:dyDescent="0.25">
      <c r="A114" s="11" t="s">
        <v>221</v>
      </c>
      <c r="B114" s="11" t="s">
        <v>222</v>
      </c>
      <c r="C114" s="11">
        <v>160</v>
      </c>
      <c r="D114" s="15">
        <f t="shared" si="3"/>
        <v>0.32</v>
      </c>
      <c r="K114" s="11" t="s">
        <v>518</v>
      </c>
      <c r="L114" s="11" t="s">
        <v>683</v>
      </c>
      <c r="M114" s="11">
        <v>4102</v>
      </c>
      <c r="N114" s="15">
        <f t="shared" si="5"/>
        <v>8.2040000000000006</v>
      </c>
    </row>
    <row r="115" spans="1:14" x14ac:dyDescent="0.25">
      <c r="A115" s="11" t="s">
        <v>223</v>
      </c>
      <c r="B115" s="11" t="s">
        <v>224</v>
      </c>
      <c r="C115" s="11">
        <v>547</v>
      </c>
      <c r="D115" s="15">
        <f t="shared" si="3"/>
        <v>1.0940000000000001</v>
      </c>
      <c r="K115" s="11" t="s">
        <v>514</v>
      </c>
      <c r="L115" s="11" t="s">
        <v>684</v>
      </c>
      <c r="M115" s="11">
        <v>3637</v>
      </c>
      <c r="N115" s="15">
        <f t="shared" si="5"/>
        <v>7.274</v>
      </c>
    </row>
    <row r="116" spans="1:14" x14ac:dyDescent="0.25">
      <c r="A116" s="11" t="s">
        <v>225</v>
      </c>
      <c r="B116" s="11" t="s">
        <v>226</v>
      </c>
      <c r="C116" s="11">
        <v>89</v>
      </c>
      <c r="D116" s="15">
        <f t="shared" si="3"/>
        <v>0.17799999999999999</v>
      </c>
      <c r="K116" s="11" t="s">
        <v>685</v>
      </c>
      <c r="L116" s="11" t="s">
        <v>686</v>
      </c>
      <c r="M116" s="11">
        <v>12688</v>
      </c>
      <c r="N116" s="15">
        <f t="shared" si="5"/>
        <v>25.376000000000001</v>
      </c>
    </row>
    <row r="117" spans="1:14" x14ac:dyDescent="0.25">
      <c r="A117" s="11" t="s">
        <v>227</v>
      </c>
      <c r="B117" s="11" t="s">
        <v>228</v>
      </c>
      <c r="C117" s="11">
        <v>200</v>
      </c>
      <c r="D117" s="15">
        <f t="shared" si="3"/>
        <v>0.4</v>
      </c>
      <c r="K117" s="11" t="s">
        <v>687</v>
      </c>
      <c r="L117" s="11" t="s">
        <v>688</v>
      </c>
      <c r="M117" s="11">
        <v>3548</v>
      </c>
      <c r="N117" s="15">
        <f t="shared" si="5"/>
        <v>7.0960000000000001</v>
      </c>
    </row>
    <row r="118" spans="1:14" x14ac:dyDescent="0.25">
      <c r="A118" s="11" t="s">
        <v>229</v>
      </c>
      <c r="B118" s="11" t="s">
        <v>230</v>
      </c>
      <c r="C118" s="11">
        <v>170</v>
      </c>
      <c r="D118" s="15">
        <f t="shared" si="3"/>
        <v>0.34</v>
      </c>
      <c r="K118" s="11" t="s">
        <v>689</v>
      </c>
      <c r="L118" s="11" t="s">
        <v>690</v>
      </c>
      <c r="M118" s="11">
        <v>4521</v>
      </c>
      <c r="N118" s="15">
        <f t="shared" si="5"/>
        <v>9.0419999999999998</v>
      </c>
    </row>
    <row r="119" spans="1:14" x14ac:dyDescent="0.25">
      <c r="A119" s="11" t="s">
        <v>231</v>
      </c>
      <c r="B119" s="11" t="s">
        <v>232</v>
      </c>
      <c r="C119" s="11">
        <v>246</v>
      </c>
      <c r="D119" s="15">
        <f t="shared" si="3"/>
        <v>0.49199999999999999</v>
      </c>
      <c r="K119" s="11" t="s">
        <v>508</v>
      </c>
      <c r="L119" s="11" t="s">
        <v>691</v>
      </c>
      <c r="M119" s="11">
        <v>22862</v>
      </c>
      <c r="N119" s="15">
        <f t="shared" si="5"/>
        <v>45.723999999999997</v>
      </c>
    </row>
    <row r="120" spans="1:14" x14ac:dyDescent="0.25">
      <c r="A120" s="11" t="s">
        <v>233</v>
      </c>
      <c r="B120" s="11" t="s">
        <v>234</v>
      </c>
      <c r="C120" s="11">
        <v>235</v>
      </c>
      <c r="D120" s="15">
        <f t="shared" si="3"/>
        <v>0.47</v>
      </c>
      <c r="K120" s="11" t="s">
        <v>692</v>
      </c>
      <c r="L120" s="11" t="s">
        <v>693</v>
      </c>
      <c r="M120" s="11">
        <v>45060</v>
      </c>
      <c r="N120" s="15">
        <f t="shared" si="5"/>
        <v>90.12</v>
      </c>
    </row>
    <row r="121" spans="1:14" x14ac:dyDescent="0.25">
      <c r="A121" s="11" t="s">
        <v>235</v>
      </c>
      <c r="B121" s="11" t="s">
        <v>236</v>
      </c>
      <c r="C121" s="11">
        <v>302</v>
      </c>
      <c r="D121" s="15">
        <f t="shared" si="3"/>
        <v>0.60399999999999998</v>
      </c>
      <c r="K121" s="11" t="s">
        <v>694</v>
      </c>
      <c r="L121" s="11" t="s">
        <v>695</v>
      </c>
      <c r="M121" s="11">
        <v>12987</v>
      </c>
      <c r="N121" s="15">
        <f t="shared" si="5"/>
        <v>25.974</v>
      </c>
    </row>
    <row r="122" spans="1:14" x14ac:dyDescent="0.25">
      <c r="A122" s="11" t="s">
        <v>237</v>
      </c>
      <c r="B122" s="11" t="s">
        <v>238</v>
      </c>
      <c r="C122" s="11">
        <v>119</v>
      </c>
      <c r="D122" s="15">
        <f t="shared" si="3"/>
        <v>0.23799999999999999</v>
      </c>
      <c r="K122" s="11" t="s">
        <v>696</v>
      </c>
      <c r="L122" s="11" t="s">
        <v>697</v>
      </c>
      <c r="M122" s="11">
        <v>5305</v>
      </c>
      <c r="N122" s="15">
        <f t="shared" si="5"/>
        <v>10.61</v>
      </c>
    </row>
    <row r="123" spans="1:14" x14ac:dyDescent="0.25">
      <c r="A123" s="11" t="s">
        <v>239</v>
      </c>
      <c r="B123" s="11" t="s">
        <v>240</v>
      </c>
      <c r="C123" s="11">
        <v>562</v>
      </c>
      <c r="D123" s="15">
        <f t="shared" si="3"/>
        <v>1.1240000000000001</v>
      </c>
      <c r="K123" s="11" t="s">
        <v>698</v>
      </c>
      <c r="L123" s="11" t="s">
        <v>699</v>
      </c>
      <c r="M123" s="11">
        <v>7094</v>
      </c>
      <c r="N123" s="15">
        <f t="shared" si="5"/>
        <v>14.188000000000001</v>
      </c>
    </row>
    <row r="124" spans="1:14" x14ac:dyDescent="0.25">
      <c r="A124" s="11" t="s">
        <v>241</v>
      </c>
      <c r="B124" s="11" t="s">
        <v>242</v>
      </c>
      <c r="C124" s="11">
        <v>4209</v>
      </c>
      <c r="D124" s="15">
        <f t="shared" si="3"/>
        <v>8.4179999999999993</v>
      </c>
      <c r="K124" s="11" t="s">
        <v>700</v>
      </c>
      <c r="L124" s="11" t="s">
        <v>701</v>
      </c>
      <c r="M124" s="11">
        <v>5873</v>
      </c>
      <c r="N124" s="15">
        <f t="shared" si="5"/>
        <v>11.746</v>
      </c>
    </row>
    <row r="125" spans="1:14" x14ac:dyDescent="0.25">
      <c r="A125" s="11" t="s">
        <v>243</v>
      </c>
      <c r="B125" s="11" t="s">
        <v>244</v>
      </c>
      <c r="C125" s="11">
        <v>1951</v>
      </c>
      <c r="D125" s="15">
        <f t="shared" si="3"/>
        <v>3.9020000000000001</v>
      </c>
      <c r="K125" s="11" t="s">
        <v>522</v>
      </c>
      <c r="L125" s="11" t="s">
        <v>702</v>
      </c>
      <c r="M125" s="11">
        <v>43010</v>
      </c>
      <c r="N125" s="15">
        <f t="shared" si="5"/>
        <v>86.02</v>
      </c>
    </row>
    <row r="126" spans="1:14" x14ac:dyDescent="0.25">
      <c r="A126" s="11" t="s">
        <v>245</v>
      </c>
      <c r="B126" s="11" t="s">
        <v>246</v>
      </c>
      <c r="C126" s="11">
        <v>494</v>
      </c>
      <c r="D126" s="15">
        <f t="shared" si="3"/>
        <v>0.98799999999999999</v>
      </c>
      <c r="K126" s="11" t="s">
        <v>703</v>
      </c>
      <c r="L126" s="11" t="s">
        <v>704</v>
      </c>
      <c r="M126" s="11">
        <v>21901</v>
      </c>
      <c r="N126" s="15">
        <f t="shared" si="5"/>
        <v>43.802</v>
      </c>
    </row>
    <row r="127" spans="1:14" x14ac:dyDescent="0.25">
      <c r="A127" s="11" t="s">
        <v>247</v>
      </c>
      <c r="B127" s="11" t="s">
        <v>248</v>
      </c>
      <c r="C127" s="11">
        <v>3972</v>
      </c>
      <c r="D127" s="15">
        <f t="shared" si="3"/>
        <v>7.944</v>
      </c>
      <c r="K127" s="11" t="s">
        <v>478</v>
      </c>
      <c r="L127" s="11" t="s">
        <v>705</v>
      </c>
      <c r="M127" s="11">
        <v>18779</v>
      </c>
      <c r="N127" s="15">
        <f t="shared" si="5"/>
        <v>37.558</v>
      </c>
    </row>
    <row r="128" spans="1:14" x14ac:dyDescent="0.25">
      <c r="A128" s="11" t="s">
        <v>249</v>
      </c>
      <c r="B128" s="11" t="s">
        <v>250</v>
      </c>
      <c r="C128" s="11">
        <v>2918</v>
      </c>
      <c r="D128" s="15">
        <f t="shared" si="3"/>
        <v>5.8360000000000003</v>
      </c>
      <c r="K128" s="11" t="s">
        <v>506</v>
      </c>
      <c r="L128" s="11" t="s">
        <v>706</v>
      </c>
      <c r="M128" s="11">
        <v>50773</v>
      </c>
      <c r="N128" s="15">
        <f t="shared" si="5"/>
        <v>101.54600000000001</v>
      </c>
    </row>
    <row r="129" spans="1:14" x14ac:dyDescent="0.25">
      <c r="A129" s="11" t="s">
        <v>251</v>
      </c>
      <c r="B129" s="11" t="s">
        <v>252</v>
      </c>
      <c r="C129" s="11">
        <v>5763</v>
      </c>
      <c r="D129" s="15">
        <f t="shared" si="3"/>
        <v>11.526</v>
      </c>
      <c r="K129" s="11" t="s">
        <v>707</v>
      </c>
      <c r="L129" s="11" t="s">
        <v>708</v>
      </c>
      <c r="M129" s="11">
        <v>5129</v>
      </c>
      <c r="N129" s="15">
        <f t="shared" si="5"/>
        <v>10.257999999999999</v>
      </c>
    </row>
    <row r="130" spans="1:14" x14ac:dyDescent="0.25">
      <c r="A130" s="11" t="s">
        <v>253</v>
      </c>
      <c r="B130" s="11" t="s">
        <v>254</v>
      </c>
      <c r="C130" s="11">
        <v>72</v>
      </c>
      <c r="D130" s="15">
        <f t="shared" si="3"/>
        <v>0.14399999999999999</v>
      </c>
      <c r="K130" s="11" t="s">
        <v>709</v>
      </c>
      <c r="L130" s="11" t="s">
        <v>710</v>
      </c>
      <c r="M130" s="11">
        <v>20628</v>
      </c>
      <c r="N130" s="15">
        <f t="shared" si="5"/>
        <v>41.256</v>
      </c>
    </row>
    <row r="131" spans="1:14" x14ac:dyDescent="0.25">
      <c r="A131" s="11" t="s">
        <v>255</v>
      </c>
      <c r="B131" s="11" t="s">
        <v>256</v>
      </c>
      <c r="C131" s="11">
        <v>1758</v>
      </c>
      <c r="D131" s="15">
        <f t="shared" si="3"/>
        <v>3.516</v>
      </c>
      <c r="K131" s="11" t="s">
        <v>711</v>
      </c>
      <c r="L131" s="11" t="s">
        <v>712</v>
      </c>
      <c r="M131" s="11">
        <v>2110</v>
      </c>
      <c r="N131" s="15">
        <f t="shared" si="5"/>
        <v>4.22</v>
      </c>
    </row>
    <row r="132" spans="1:14" x14ac:dyDescent="0.25">
      <c r="A132" s="11" t="s">
        <v>257</v>
      </c>
      <c r="B132" s="11" t="s">
        <v>258</v>
      </c>
      <c r="C132" s="11">
        <v>2738</v>
      </c>
      <c r="D132" s="15">
        <f t="shared" si="3"/>
        <v>5.476</v>
      </c>
      <c r="K132" s="11" t="s">
        <v>713</v>
      </c>
      <c r="L132" s="11" t="s">
        <v>714</v>
      </c>
      <c r="M132" s="11">
        <v>15174</v>
      </c>
      <c r="N132" s="15">
        <f t="shared" ref="N132:N163" si="6">M132/500</f>
        <v>30.347999999999999</v>
      </c>
    </row>
    <row r="133" spans="1:14" x14ac:dyDescent="0.25">
      <c r="A133" s="11" t="s">
        <v>259</v>
      </c>
      <c r="B133" s="11" t="s">
        <v>260</v>
      </c>
      <c r="C133" s="11">
        <v>1346</v>
      </c>
      <c r="D133" s="15">
        <f t="shared" si="3"/>
        <v>2.6920000000000002</v>
      </c>
      <c r="K133" s="11" t="s">
        <v>472</v>
      </c>
      <c r="L133" s="11" t="s">
        <v>715</v>
      </c>
      <c r="M133" s="11">
        <v>36004</v>
      </c>
      <c r="N133" s="15">
        <f t="shared" si="6"/>
        <v>72.007999999999996</v>
      </c>
    </row>
    <row r="134" spans="1:14" x14ac:dyDescent="0.25">
      <c r="K134" s="11" t="s">
        <v>716</v>
      </c>
      <c r="L134" s="11" t="s">
        <v>717</v>
      </c>
      <c r="M134" s="11">
        <v>2671</v>
      </c>
      <c r="N134" s="15">
        <f t="shared" si="6"/>
        <v>5.3419999999999996</v>
      </c>
    </row>
    <row r="135" spans="1:14" x14ac:dyDescent="0.25">
      <c r="K135" s="11" t="s">
        <v>718</v>
      </c>
      <c r="L135" s="11" t="s">
        <v>719</v>
      </c>
      <c r="M135" s="11">
        <v>6536</v>
      </c>
      <c r="N135" s="15">
        <f t="shared" si="6"/>
        <v>13.071999999999999</v>
      </c>
    </row>
    <row r="136" spans="1:14" x14ac:dyDescent="0.25">
      <c r="K136" s="11" t="s">
        <v>720</v>
      </c>
      <c r="L136" s="11" t="s">
        <v>721</v>
      </c>
      <c r="M136" s="11">
        <v>4209</v>
      </c>
      <c r="N136" s="15">
        <f t="shared" si="6"/>
        <v>8.4179999999999993</v>
      </c>
    </row>
    <row r="137" spans="1:14" x14ac:dyDescent="0.25">
      <c r="K137" s="11" t="s">
        <v>486</v>
      </c>
      <c r="L137" s="11" t="s">
        <v>722</v>
      </c>
      <c r="M137" s="11">
        <v>35515</v>
      </c>
      <c r="N137" s="15">
        <f t="shared" si="6"/>
        <v>71.03</v>
      </c>
    </row>
    <row r="138" spans="1:14" x14ac:dyDescent="0.25">
      <c r="K138" s="11" t="s">
        <v>723</v>
      </c>
      <c r="L138" s="11" t="s">
        <v>724</v>
      </c>
      <c r="M138" s="11">
        <v>52554</v>
      </c>
      <c r="N138" s="15">
        <f t="shared" si="6"/>
        <v>105.108</v>
      </c>
    </row>
    <row r="139" spans="1:14" x14ac:dyDescent="0.25">
      <c r="K139" s="11" t="s">
        <v>725</v>
      </c>
      <c r="L139" s="11" t="s">
        <v>726</v>
      </c>
      <c r="M139" s="11">
        <v>29103</v>
      </c>
      <c r="N139" s="15">
        <f t="shared" si="6"/>
        <v>58.206000000000003</v>
      </c>
    </row>
    <row r="140" spans="1:14" x14ac:dyDescent="0.25">
      <c r="K140" s="11" t="s">
        <v>727</v>
      </c>
      <c r="L140" s="11" t="s">
        <v>728</v>
      </c>
      <c r="M140" s="11">
        <v>20492</v>
      </c>
      <c r="N140" s="15">
        <f t="shared" si="6"/>
        <v>40.984000000000002</v>
      </c>
    </row>
    <row r="141" spans="1:14" x14ac:dyDescent="0.25">
      <c r="K141" s="11" t="s">
        <v>729</v>
      </c>
      <c r="L141" s="11" t="s">
        <v>730</v>
      </c>
      <c r="M141" s="11">
        <v>92630</v>
      </c>
      <c r="N141" s="15">
        <f t="shared" si="6"/>
        <v>185.26</v>
      </c>
    </row>
    <row r="142" spans="1:14" x14ac:dyDescent="0.25">
      <c r="K142" s="11" t="s">
        <v>731</v>
      </c>
      <c r="L142" s="11" t="s">
        <v>732</v>
      </c>
      <c r="M142" s="11">
        <v>109214</v>
      </c>
      <c r="N142" s="15">
        <f t="shared" si="6"/>
        <v>218.428</v>
      </c>
    </row>
    <row r="143" spans="1:14" x14ac:dyDescent="0.25">
      <c r="K143" s="11" t="s">
        <v>733</v>
      </c>
      <c r="L143" s="11" t="s">
        <v>734</v>
      </c>
      <c r="M143" s="11">
        <v>272</v>
      </c>
      <c r="N143" s="15">
        <f t="shared" si="6"/>
        <v>0.54400000000000004</v>
      </c>
    </row>
    <row r="144" spans="1:14" x14ac:dyDescent="0.25">
      <c r="K144" s="11" t="s">
        <v>735</v>
      </c>
      <c r="L144" s="11" t="s">
        <v>736</v>
      </c>
      <c r="M144" s="11">
        <v>2424</v>
      </c>
      <c r="N144" s="15">
        <f t="shared" si="6"/>
        <v>4.8479999999999999</v>
      </c>
    </row>
    <row r="145" spans="11:14" x14ac:dyDescent="0.25">
      <c r="K145" s="11" t="s">
        <v>737</v>
      </c>
      <c r="L145" s="11" t="s">
        <v>738</v>
      </c>
      <c r="M145" s="11">
        <v>1280</v>
      </c>
      <c r="N145" s="15">
        <f t="shared" si="6"/>
        <v>2.56</v>
      </c>
    </row>
    <row r="146" spans="11:14" x14ac:dyDescent="0.25">
      <c r="K146" s="11" t="s">
        <v>739</v>
      </c>
      <c r="L146" s="11" t="s">
        <v>740</v>
      </c>
      <c r="M146" s="11">
        <v>5963</v>
      </c>
      <c r="N146" s="15">
        <f t="shared" si="6"/>
        <v>11.926</v>
      </c>
    </row>
    <row r="147" spans="11:14" x14ac:dyDescent="0.25">
      <c r="K147" s="11" t="s">
        <v>687</v>
      </c>
      <c r="L147" s="11" t="s">
        <v>741</v>
      </c>
      <c r="M147" s="11">
        <v>0</v>
      </c>
      <c r="N147" s="15">
        <f t="shared" si="6"/>
        <v>0</v>
      </c>
    </row>
    <row r="148" spans="11:14" x14ac:dyDescent="0.25">
      <c r="K148" s="11" t="s">
        <v>742</v>
      </c>
      <c r="L148" s="11" t="s">
        <v>743</v>
      </c>
      <c r="M148" s="11">
        <v>2</v>
      </c>
      <c r="N148" s="15">
        <f t="shared" si="6"/>
        <v>4.0000000000000001E-3</v>
      </c>
    </row>
    <row r="149" spans="11:14" x14ac:dyDescent="0.25">
      <c r="K149" s="11" t="s">
        <v>744</v>
      </c>
      <c r="L149" s="11" t="s">
        <v>745</v>
      </c>
      <c r="M149" s="11">
        <v>1677</v>
      </c>
      <c r="N149" s="15">
        <f t="shared" si="6"/>
        <v>3.3540000000000001</v>
      </c>
    </row>
    <row r="150" spans="11:14" x14ac:dyDescent="0.25">
      <c r="K150" s="11" t="s">
        <v>746</v>
      </c>
      <c r="L150" s="11" t="s">
        <v>747</v>
      </c>
      <c r="M150" s="11">
        <v>7486</v>
      </c>
      <c r="N150" s="15">
        <f t="shared" si="6"/>
        <v>14.972</v>
      </c>
    </row>
    <row r="151" spans="11:14" x14ac:dyDescent="0.25">
      <c r="K151" s="11" t="s">
        <v>748</v>
      </c>
      <c r="L151" s="11" t="s">
        <v>749</v>
      </c>
      <c r="M151" s="11">
        <v>2612</v>
      </c>
      <c r="N151" s="15">
        <f t="shared" si="6"/>
        <v>5.2240000000000002</v>
      </c>
    </row>
    <row r="152" spans="11:14" x14ac:dyDescent="0.25">
      <c r="K152" s="11" t="s">
        <v>552</v>
      </c>
      <c r="L152" s="11" t="s">
        <v>750</v>
      </c>
      <c r="M152" s="11">
        <v>44652</v>
      </c>
      <c r="N152" s="15">
        <f t="shared" si="6"/>
        <v>89.304000000000002</v>
      </c>
    </row>
    <row r="153" spans="11:14" x14ac:dyDescent="0.25">
      <c r="K153" s="11" t="s">
        <v>751</v>
      </c>
      <c r="L153" s="11" t="s">
        <v>752</v>
      </c>
      <c r="M153" s="11">
        <v>537</v>
      </c>
      <c r="N153" s="15">
        <f t="shared" si="6"/>
        <v>1.0740000000000001</v>
      </c>
    </row>
    <row r="154" spans="11:14" x14ac:dyDescent="0.25">
      <c r="K154" s="11" t="s">
        <v>753</v>
      </c>
      <c r="L154" s="11" t="s">
        <v>754</v>
      </c>
      <c r="M154" s="11">
        <v>10646</v>
      </c>
      <c r="N154" s="15">
        <f t="shared" si="6"/>
        <v>21.292000000000002</v>
      </c>
    </row>
    <row r="155" spans="11:14" x14ac:dyDescent="0.25">
      <c r="K155" s="11" t="s">
        <v>755</v>
      </c>
      <c r="L155" s="11" t="s">
        <v>756</v>
      </c>
      <c r="M155" s="11">
        <v>0</v>
      </c>
      <c r="N155" s="15">
        <f t="shared" si="6"/>
        <v>0</v>
      </c>
    </row>
    <row r="156" spans="11:14" x14ac:dyDescent="0.25">
      <c r="K156" s="11" t="s">
        <v>757</v>
      </c>
      <c r="L156" s="11" t="s">
        <v>758</v>
      </c>
      <c r="M156" s="11">
        <v>2332</v>
      </c>
      <c r="N156" s="15">
        <f t="shared" si="6"/>
        <v>4.6639999999999997</v>
      </c>
    </row>
    <row r="157" spans="11:14" x14ac:dyDescent="0.25">
      <c r="K157" s="11" t="s">
        <v>759</v>
      </c>
      <c r="L157" s="11" t="s">
        <v>760</v>
      </c>
      <c r="M157" s="11">
        <v>880</v>
      </c>
      <c r="N157" s="15">
        <f t="shared" si="6"/>
        <v>1.76</v>
      </c>
    </row>
    <row r="158" spans="11:14" x14ac:dyDescent="0.25">
      <c r="K158" s="11" t="s">
        <v>761</v>
      </c>
      <c r="L158" s="11" t="s">
        <v>762</v>
      </c>
      <c r="M158" s="11">
        <v>1083</v>
      </c>
      <c r="N158" s="15">
        <f t="shared" si="6"/>
        <v>2.1659999999999999</v>
      </c>
    </row>
    <row r="159" spans="11:14" x14ac:dyDescent="0.25">
      <c r="K159" s="11" t="s">
        <v>763</v>
      </c>
      <c r="L159" s="11" t="s">
        <v>764</v>
      </c>
      <c r="M159" s="11">
        <v>3997</v>
      </c>
      <c r="N159" s="15">
        <f t="shared" si="6"/>
        <v>7.9939999999999998</v>
      </c>
    </row>
    <row r="160" spans="11:14" x14ac:dyDescent="0.25">
      <c r="K160" s="11" t="s">
        <v>765</v>
      </c>
      <c r="L160" s="11" t="s">
        <v>766</v>
      </c>
      <c r="M160" s="11">
        <v>5268</v>
      </c>
      <c r="N160" s="15">
        <f t="shared" si="6"/>
        <v>10.536</v>
      </c>
    </row>
    <row r="161" spans="11:14" x14ac:dyDescent="0.25">
      <c r="K161" s="11" t="s">
        <v>767</v>
      </c>
      <c r="L161" s="11" t="s">
        <v>768</v>
      </c>
      <c r="M161" s="11">
        <v>1085</v>
      </c>
      <c r="N161" s="15">
        <f t="shared" si="6"/>
        <v>2.17</v>
      </c>
    </row>
    <row r="162" spans="11:14" x14ac:dyDescent="0.25">
      <c r="K162" s="11" t="s">
        <v>769</v>
      </c>
      <c r="L162" s="11" t="s">
        <v>770</v>
      </c>
      <c r="M162" s="11">
        <v>81098</v>
      </c>
      <c r="N162" s="15">
        <f t="shared" si="6"/>
        <v>162.196</v>
      </c>
    </row>
    <row r="163" spans="11:14" x14ac:dyDescent="0.25">
      <c r="K163" s="11" t="s">
        <v>771</v>
      </c>
      <c r="L163" s="11" t="s">
        <v>772</v>
      </c>
      <c r="M163" s="11">
        <v>15696</v>
      </c>
      <c r="N163" s="15">
        <f t="shared" si="6"/>
        <v>31.391999999999999</v>
      </c>
    </row>
  </sheetData>
  <mergeCells count="3">
    <mergeCell ref="A1:D1"/>
    <mergeCell ref="F1:I1"/>
    <mergeCell ref="K1:N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ED24-AE9F-490B-BCF3-AD0A0D7BD3E8}">
  <dimension ref="A1:N166"/>
  <sheetViews>
    <sheetView showGridLines="0" tabSelected="1" workbookViewId="0">
      <selection activeCell="C140" sqref="C140"/>
    </sheetView>
  </sheetViews>
  <sheetFormatPr defaultRowHeight="15" x14ac:dyDescent="0.25"/>
  <cols>
    <col min="1" max="1" width="45" bestFit="1" customWidth="1"/>
    <col min="2" max="2" width="14.28515625" bestFit="1" customWidth="1"/>
    <col min="3" max="4" width="9.140625" style="13"/>
    <col min="5" max="5" width="3.28515625" customWidth="1"/>
    <col min="6" max="6" width="52.28515625" bestFit="1" customWidth="1"/>
    <col min="7" max="7" width="13.7109375" bestFit="1" customWidth="1"/>
    <col min="8" max="9" width="9.140625" style="13"/>
    <col min="10" max="10" width="3.42578125" customWidth="1"/>
    <col min="11" max="11" width="56.42578125" bestFit="1" customWidth="1"/>
    <col min="12" max="12" width="13.85546875" bestFit="1" customWidth="1"/>
    <col min="13" max="14" width="9.140625" style="13"/>
    <col min="15" max="15" width="3.28515625" customWidth="1"/>
  </cols>
  <sheetData>
    <row r="1" spans="1:14" ht="16.5" thickBot="1" x14ac:dyDescent="0.3">
      <c r="A1" s="1" t="s">
        <v>0</v>
      </c>
      <c r="B1" s="2"/>
      <c r="C1" s="2"/>
      <c r="D1" s="3"/>
      <c r="F1" s="4" t="s">
        <v>1</v>
      </c>
      <c r="G1" s="5"/>
      <c r="H1" s="5"/>
      <c r="I1" s="6"/>
      <c r="K1" s="4" t="s">
        <v>463</v>
      </c>
      <c r="L1" s="5"/>
      <c r="M1" s="5"/>
      <c r="N1" s="6"/>
    </row>
    <row r="2" spans="1:14" ht="15.75" thickBot="1" x14ac:dyDescent="0.3">
      <c r="C2" s="7" t="s">
        <v>2</v>
      </c>
      <c r="D2" s="8" t="s">
        <v>3</v>
      </c>
      <c r="H2" s="9" t="s">
        <v>2</v>
      </c>
      <c r="I2" s="9" t="s">
        <v>3</v>
      </c>
      <c r="M2" s="9" t="s">
        <v>2</v>
      </c>
      <c r="N2" s="9" t="s">
        <v>3</v>
      </c>
    </row>
    <row r="3" spans="1:14" x14ac:dyDescent="0.25">
      <c r="A3" s="11" t="s">
        <v>6</v>
      </c>
      <c r="B3" s="11" t="s">
        <v>7</v>
      </c>
      <c r="C3" s="11">
        <v>352</v>
      </c>
      <c r="D3" s="14">
        <f>C3/500</f>
        <v>0.70399999999999996</v>
      </c>
      <c r="F3" s="11" t="s">
        <v>261</v>
      </c>
      <c r="G3" s="11" t="s">
        <v>262</v>
      </c>
      <c r="H3" s="11">
        <v>4470</v>
      </c>
      <c r="I3" s="10">
        <f>H3/500</f>
        <v>8.94</v>
      </c>
      <c r="K3" s="11" t="s">
        <v>464</v>
      </c>
      <c r="L3" s="11" t="s">
        <v>465</v>
      </c>
      <c r="M3" s="11">
        <v>942</v>
      </c>
      <c r="N3" s="14">
        <f>M3/500</f>
        <v>1.8839999999999999</v>
      </c>
    </row>
    <row r="4" spans="1:14" x14ac:dyDescent="0.25">
      <c r="A4" s="11" t="s">
        <v>8</v>
      </c>
      <c r="B4" s="11" t="s">
        <v>9</v>
      </c>
      <c r="C4" s="11">
        <v>522</v>
      </c>
      <c r="D4" s="15">
        <f t="shared" ref="D4:D67" si="0">C4/500</f>
        <v>1.044</v>
      </c>
      <c r="F4" s="11" t="s">
        <v>263</v>
      </c>
      <c r="G4" s="11" t="s">
        <v>264</v>
      </c>
      <c r="H4" s="11">
        <v>6649</v>
      </c>
      <c r="I4" s="12">
        <f t="shared" ref="I4:I67" si="1">H4/500</f>
        <v>13.298</v>
      </c>
      <c r="K4" s="11" t="s">
        <v>466</v>
      </c>
      <c r="L4" s="11" t="s">
        <v>467</v>
      </c>
      <c r="M4" s="11">
        <v>776</v>
      </c>
      <c r="N4" s="15">
        <f t="shared" ref="N4:N67" si="2">M4/500</f>
        <v>1.552</v>
      </c>
    </row>
    <row r="5" spans="1:14" x14ac:dyDescent="0.25">
      <c r="A5" s="11" t="s">
        <v>10</v>
      </c>
      <c r="B5" s="11" t="s">
        <v>11</v>
      </c>
      <c r="C5" s="11">
        <v>779</v>
      </c>
      <c r="D5" s="15">
        <f t="shared" si="0"/>
        <v>1.5580000000000001</v>
      </c>
      <c r="F5" s="11" t="s">
        <v>265</v>
      </c>
      <c r="G5" s="11" t="s">
        <v>266</v>
      </c>
      <c r="H5" s="11">
        <v>3150</v>
      </c>
      <c r="I5" s="12">
        <f t="shared" si="1"/>
        <v>6.3</v>
      </c>
      <c r="K5" s="11" t="s">
        <v>470</v>
      </c>
      <c r="L5" s="11" t="s">
        <v>471</v>
      </c>
      <c r="M5" s="11">
        <v>851</v>
      </c>
      <c r="N5" s="15">
        <f t="shared" si="2"/>
        <v>1.702</v>
      </c>
    </row>
    <row r="6" spans="1:14" x14ac:dyDescent="0.25">
      <c r="A6" s="11" t="s">
        <v>12</v>
      </c>
      <c r="B6" s="11" t="s">
        <v>13</v>
      </c>
      <c r="C6" s="11">
        <v>607</v>
      </c>
      <c r="D6" s="15">
        <f t="shared" si="0"/>
        <v>1.214</v>
      </c>
      <c r="F6" s="11" t="s">
        <v>269</v>
      </c>
      <c r="G6" s="11" t="s">
        <v>270</v>
      </c>
      <c r="H6" s="11">
        <v>1040</v>
      </c>
      <c r="I6" s="12">
        <f t="shared" si="1"/>
        <v>2.08</v>
      </c>
      <c r="K6" s="11" t="s">
        <v>472</v>
      </c>
      <c r="L6" s="11" t="s">
        <v>473</v>
      </c>
      <c r="M6" s="11">
        <v>4107</v>
      </c>
      <c r="N6" s="15">
        <f t="shared" si="2"/>
        <v>8.2140000000000004</v>
      </c>
    </row>
    <row r="7" spans="1:14" x14ac:dyDescent="0.25">
      <c r="A7" s="11" t="s">
        <v>14</v>
      </c>
      <c r="B7" s="11" t="s">
        <v>15</v>
      </c>
      <c r="C7" s="11">
        <v>10</v>
      </c>
      <c r="D7" s="15">
        <f t="shared" si="0"/>
        <v>0.02</v>
      </c>
      <c r="F7" s="11" t="s">
        <v>271</v>
      </c>
      <c r="G7" s="11" t="s">
        <v>272</v>
      </c>
      <c r="H7" s="11">
        <v>384</v>
      </c>
      <c r="I7" s="12">
        <f t="shared" si="1"/>
        <v>0.76800000000000002</v>
      </c>
      <c r="K7" s="11" t="s">
        <v>474</v>
      </c>
      <c r="L7" s="11" t="s">
        <v>475</v>
      </c>
      <c r="M7" s="11">
        <v>4079</v>
      </c>
      <c r="N7" s="15">
        <f t="shared" si="2"/>
        <v>8.1579999999999995</v>
      </c>
    </row>
    <row r="8" spans="1:14" x14ac:dyDescent="0.25">
      <c r="A8" s="11" t="s">
        <v>16</v>
      </c>
      <c r="B8" s="11" t="s">
        <v>17</v>
      </c>
      <c r="C8" s="11">
        <v>950</v>
      </c>
      <c r="D8" s="15">
        <f t="shared" si="0"/>
        <v>1.9</v>
      </c>
      <c r="F8" s="11" t="s">
        <v>275</v>
      </c>
      <c r="G8" s="11" t="s">
        <v>276</v>
      </c>
      <c r="H8" s="11">
        <v>8134</v>
      </c>
      <c r="I8" s="12">
        <f t="shared" si="1"/>
        <v>16.268000000000001</v>
      </c>
      <c r="K8" s="11" t="s">
        <v>476</v>
      </c>
      <c r="L8" s="11" t="s">
        <v>477</v>
      </c>
      <c r="M8" s="11">
        <v>1091</v>
      </c>
      <c r="N8" s="15">
        <f t="shared" si="2"/>
        <v>2.1819999999999999</v>
      </c>
    </row>
    <row r="9" spans="1:14" x14ac:dyDescent="0.25">
      <c r="A9" s="11" t="s">
        <v>20</v>
      </c>
      <c r="B9" s="11" t="s">
        <v>21</v>
      </c>
      <c r="C9" s="11">
        <v>2654</v>
      </c>
      <c r="D9" s="15">
        <f t="shared" si="0"/>
        <v>5.3079999999999998</v>
      </c>
      <c r="F9" s="11" t="s">
        <v>277</v>
      </c>
      <c r="G9" s="11" t="s">
        <v>278</v>
      </c>
      <c r="H9" s="11">
        <v>553</v>
      </c>
      <c r="I9" s="12">
        <f t="shared" si="1"/>
        <v>1.1060000000000001</v>
      </c>
      <c r="K9" s="11" t="s">
        <v>478</v>
      </c>
      <c r="L9" s="11" t="s">
        <v>479</v>
      </c>
      <c r="M9" s="11">
        <v>9443</v>
      </c>
      <c r="N9" s="15">
        <f t="shared" si="2"/>
        <v>18.885999999999999</v>
      </c>
    </row>
    <row r="10" spans="1:14" x14ac:dyDescent="0.25">
      <c r="A10" s="11" t="s">
        <v>22</v>
      </c>
      <c r="B10" s="11" t="s">
        <v>23</v>
      </c>
      <c r="C10" s="11">
        <v>515</v>
      </c>
      <c r="D10" s="15">
        <f t="shared" si="0"/>
        <v>1.03</v>
      </c>
      <c r="F10" s="11" t="s">
        <v>279</v>
      </c>
      <c r="G10" s="11" t="s">
        <v>280</v>
      </c>
      <c r="H10" s="11">
        <v>527</v>
      </c>
      <c r="I10" s="12">
        <f t="shared" si="1"/>
        <v>1.054</v>
      </c>
      <c r="K10" s="11" t="s">
        <v>480</v>
      </c>
      <c r="L10" s="11" t="s">
        <v>481</v>
      </c>
      <c r="M10" s="11">
        <v>249</v>
      </c>
      <c r="N10" s="15">
        <f t="shared" si="2"/>
        <v>0.498</v>
      </c>
    </row>
    <row r="11" spans="1:14" x14ac:dyDescent="0.25">
      <c r="A11" s="11" t="s">
        <v>24</v>
      </c>
      <c r="B11" s="11" t="s">
        <v>25</v>
      </c>
      <c r="C11" s="11">
        <v>2111</v>
      </c>
      <c r="D11" s="15">
        <f t="shared" si="0"/>
        <v>4.2220000000000004</v>
      </c>
      <c r="F11" s="11" t="s">
        <v>281</v>
      </c>
      <c r="G11" s="11" t="s">
        <v>282</v>
      </c>
      <c r="H11" s="11">
        <v>4752</v>
      </c>
      <c r="I11" s="12">
        <f t="shared" si="1"/>
        <v>9.5039999999999996</v>
      </c>
      <c r="K11" s="11" t="s">
        <v>482</v>
      </c>
      <c r="L11" s="11" t="s">
        <v>483</v>
      </c>
      <c r="M11" s="11">
        <v>644</v>
      </c>
      <c r="N11" s="15">
        <f t="shared" si="2"/>
        <v>1.288</v>
      </c>
    </row>
    <row r="12" spans="1:14" x14ac:dyDescent="0.25">
      <c r="A12" s="11" t="s">
        <v>26</v>
      </c>
      <c r="B12" s="11" t="s">
        <v>27</v>
      </c>
      <c r="C12" s="11">
        <v>834</v>
      </c>
      <c r="D12" s="15">
        <f t="shared" si="0"/>
        <v>1.6679999999999999</v>
      </c>
      <c r="F12" s="11" t="s">
        <v>283</v>
      </c>
      <c r="G12" s="11" t="s">
        <v>284</v>
      </c>
      <c r="H12" s="11">
        <v>1470</v>
      </c>
      <c r="I12" s="12">
        <f t="shared" si="1"/>
        <v>2.94</v>
      </c>
      <c r="K12" s="11" t="s">
        <v>484</v>
      </c>
      <c r="L12" s="11" t="s">
        <v>485</v>
      </c>
      <c r="M12" s="11">
        <v>422</v>
      </c>
      <c r="N12" s="15">
        <f t="shared" si="2"/>
        <v>0.84399999999999997</v>
      </c>
    </row>
    <row r="13" spans="1:14" x14ac:dyDescent="0.25">
      <c r="A13" s="11" t="s">
        <v>28</v>
      </c>
      <c r="B13" s="11" t="s">
        <v>29</v>
      </c>
      <c r="C13" s="11">
        <v>4018</v>
      </c>
      <c r="D13" s="15">
        <f t="shared" si="0"/>
        <v>8.0359999999999996</v>
      </c>
      <c r="F13" s="11" t="s">
        <v>285</v>
      </c>
      <c r="G13" s="11" t="s">
        <v>286</v>
      </c>
      <c r="H13" s="11">
        <v>3669</v>
      </c>
      <c r="I13" s="12">
        <f t="shared" si="1"/>
        <v>7.3380000000000001</v>
      </c>
      <c r="K13" s="11" t="s">
        <v>486</v>
      </c>
      <c r="L13" s="11" t="s">
        <v>487</v>
      </c>
      <c r="M13" s="11">
        <v>4135</v>
      </c>
      <c r="N13" s="15">
        <f t="shared" si="2"/>
        <v>8.27</v>
      </c>
    </row>
    <row r="14" spans="1:14" x14ac:dyDescent="0.25">
      <c r="A14" s="11" t="s">
        <v>32</v>
      </c>
      <c r="B14" s="11" t="s">
        <v>33</v>
      </c>
      <c r="C14" s="11">
        <v>446</v>
      </c>
      <c r="D14" s="15">
        <f t="shared" si="0"/>
        <v>0.89200000000000002</v>
      </c>
      <c r="F14" s="11" t="s">
        <v>289</v>
      </c>
      <c r="G14" s="11" t="s">
        <v>290</v>
      </c>
      <c r="H14" s="11">
        <v>43</v>
      </c>
      <c r="I14" s="12">
        <f t="shared" si="1"/>
        <v>8.5999999999999993E-2</v>
      </c>
      <c r="K14" s="11" t="s">
        <v>488</v>
      </c>
      <c r="L14" s="11" t="s">
        <v>489</v>
      </c>
      <c r="M14" s="11">
        <v>647</v>
      </c>
      <c r="N14" s="15">
        <f t="shared" si="2"/>
        <v>1.294</v>
      </c>
    </row>
    <row r="15" spans="1:14" x14ac:dyDescent="0.25">
      <c r="A15" s="11" t="s">
        <v>34</v>
      </c>
      <c r="B15" s="11" t="s">
        <v>35</v>
      </c>
      <c r="C15" s="11">
        <v>1782</v>
      </c>
      <c r="D15" s="15">
        <f t="shared" si="0"/>
        <v>3.5640000000000001</v>
      </c>
      <c r="F15" s="11" t="s">
        <v>291</v>
      </c>
      <c r="G15" s="11" t="s">
        <v>292</v>
      </c>
      <c r="H15" s="11">
        <v>517</v>
      </c>
      <c r="I15" s="12">
        <f t="shared" si="1"/>
        <v>1.034</v>
      </c>
      <c r="K15" s="11" t="s">
        <v>490</v>
      </c>
      <c r="L15" s="11" t="s">
        <v>491</v>
      </c>
      <c r="M15" s="11">
        <v>1130</v>
      </c>
      <c r="N15" s="15">
        <f t="shared" si="2"/>
        <v>2.2599999999999998</v>
      </c>
    </row>
    <row r="16" spans="1:14" x14ac:dyDescent="0.25">
      <c r="A16" s="11" t="s">
        <v>36</v>
      </c>
      <c r="B16" s="11" t="s">
        <v>37</v>
      </c>
      <c r="C16" s="11">
        <v>2779</v>
      </c>
      <c r="D16" s="15">
        <f t="shared" si="0"/>
        <v>5.5579999999999998</v>
      </c>
      <c r="F16" s="11" t="s">
        <v>293</v>
      </c>
      <c r="G16" s="11" t="s">
        <v>294</v>
      </c>
      <c r="H16" s="11">
        <v>5347</v>
      </c>
      <c r="I16" s="12">
        <f t="shared" si="1"/>
        <v>10.694000000000001</v>
      </c>
      <c r="K16" s="11" t="s">
        <v>492</v>
      </c>
      <c r="L16" s="11" t="s">
        <v>493</v>
      </c>
      <c r="M16" s="11">
        <v>1499</v>
      </c>
      <c r="N16" s="15">
        <f t="shared" si="2"/>
        <v>2.9980000000000002</v>
      </c>
    </row>
    <row r="17" spans="1:14" x14ac:dyDescent="0.25">
      <c r="A17" s="11" t="s">
        <v>38</v>
      </c>
      <c r="B17" s="11" t="s">
        <v>39</v>
      </c>
      <c r="C17" s="11">
        <v>1640</v>
      </c>
      <c r="D17" s="15">
        <f t="shared" si="0"/>
        <v>3.28</v>
      </c>
      <c r="F17" s="11" t="s">
        <v>295</v>
      </c>
      <c r="G17" s="11" t="s">
        <v>296</v>
      </c>
      <c r="H17" s="11">
        <v>4779</v>
      </c>
      <c r="I17" s="12">
        <f t="shared" si="1"/>
        <v>9.5579999999999998</v>
      </c>
      <c r="K17" s="11" t="s">
        <v>494</v>
      </c>
      <c r="L17" s="11" t="s">
        <v>495</v>
      </c>
      <c r="M17" s="11">
        <v>1522</v>
      </c>
      <c r="N17" s="15">
        <f t="shared" si="2"/>
        <v>3.044</v>
      </c>
    </row>
    <row r="18" spans="1:14" x14ac:dyDescent="0.25">
      <c r="A18" s="11" t="s">
        <v>40</v>
      </c>
      <c r="B18" s="11" t="s">
        <v>41</v>
      </c>
      <c r="C18" s="11">
        <v>929</v>
      </c>
      <c r="D18" s="15">
        <f t="shared" si="0"/>
        <v>1.8580000000000001</v>
      </c>
      <c r="F18" s="11" t="s">
        <v>297</v>
      </c>
      <c r="G18" s="11" t="s">
        <v>298</v>
      </c>
      <c r="H18" s="11">
        <v>3091</v>
      </c>
      <c r="I18" s="12">
        <f t="shared" si="1"/>
        <v>6.1820000000000004</v>
      </c>
      <c r="K18" s="11" t="s">
        <v>496</v>
      </c>
      <c r="L18" s="11" t="s">
        <v>497</v>
      </c>
      <c r="M18" s="11">
        <v>1131</v>
      </c>
      <c r="N18" s="15">
        <f t="shared" si="2"/>
        <v>2.262</v>
      </c>
    </row>
    <row r="19" spans="1:14" x14ac:dyDescent="0.25">
      <c r="A19" s="11" t="s">
        <v>42</v>
      </c>
      <c r="B19" s="11" t="s">
        <v>43</v>
      </c>
      <c r="C19" s="11">
        <v>1150</v>
      </c>
      <c r="D19" s="15">
        <f t="shared" si="0"/>
        <v>2.2999999999999998</v>
      </c>
      <c r="F19" s="11" t="s">
        <v>299</v>
      </c>
      <c r="G19" s="11" t="s">
        <v>300</v>
      </c>
      <c r="H19" s="11">
        <v>3514</v>
      </c>
      <c r="I19" s="12">
        <f t="shared" si="1"/>
        <v>7.0279999999999996</v>
      </c>
      <c r="K19" s="11" t="s">
        <v>498</v>
      </c>
      <c r="L19" s="11" t="s">
        <v>499</v>
      </c>
      <c r="M19" s="11">
        <v>0</v>
      </c>
      <c r="N19" s="15">
        <f t="shared" si="2"/>
        <v>0</v>
      </c>
    </row>
    <row r="20" spans="1:14" x14ac:dyDescent="0.25">
      <c r="A20" s="11" t="s">
        <v>44</v>
      </c>
      <c r="B20" s="11" t="s">
        <v>45</v>
      </c>
      <c r="C20" s="11">
        <v>3649</v>
      </c>
      <c r="D20" s="15">
        <f t="shared" si="0"/>
        <v>7.298</v>
      </c>
      <c r="F20" s="11" t="s">
        <v>301</v>
      </c>
      <c r="G20" s="11" t="s">
        <v>302</v>
      </c>
      <c r="H20" s="11">
        <v>3190</v>
      </c>
      <c r="I20" s="12">
        <f t="shared" si="1"/>
        <v>6.38</v>
      </c>
      <c r="K20" s="11" t="s">
        <v>500</v>
      </c>
      <c r="L20" s="11" t="s">
        <v>501</v>
      </c>
      <c r="M20" s="11">
        <v>13143</v>
      </c>
      <c r="N20" s="15">
        <f t="shared" si="2"/>
        <v>26.286000000000001</v>
      </c>
    </row>
    <row r="21" spans="1:14" x14ac:dyDescent="0.25">
      <c r="A21" s="11" t="s">
        <v>46</v>
      </c>
      <c r="B21" s="11" t="s">
        <v>47</v>
      </c>
      <c r="C21" s="11">
        <v>1579</v>
      </c>
      <c r="D21" s="15">
        <f t="shared" si="0"/>
        <v>3.1579999999999999</v>
      </c>
      <c r="F21" s="11" t="s">
        <v>303</v>
      </c>
      <c r="G21" s="11" t="s">
        <v>304</v>
      </c>
      <c r="H21" s="11">
        <v>1935</v>
      </c>
      <c r="I21" s="12">
        <f t="shared" si="1"/>
        <v>3.87</v>
      </c>
      <c r="K21" s="11" t="s">
        <v>502</v>
      </c>
      <c r="L21" s="11" t="s">
        <v>503</v>
      </c>
      <c r="M21" s="11">
        <v>2363</v>
      </c>
      <c r="N21" s="15">
        <f t="shared" si="2"/>
        <v>4.726</v>
      </c>
    </row>
    <row r="22" spans="1:14" x14ac:dyDescent="0.25">
      <c r="A22" s="11" t="s">
        <v>48</v>
      </c>
      <c r="B22" s="11" t="s">
        <v>49</v>
      </c>
      <c r="C22" s="11">
        <v>1002</v>
      </c>
      <c r="D22" s="15">
        <f t="shared" si="0"/>
        <v>2.004</v>
      </c>
      <c r="F22" s="11" t="s">
        <v>305</v>
      </c>
      <c r="G22" s="11" t="s">
        <v>306</v>
      </c>
      <c r="H22" s="11">
        <v>3128</v>
      </c>
      <c r="I22" s="12">
        <f t="shared" si="1"/>
        <v>6.2560000000000002</v>
      </c>
      <c r="K22" s="11" t="s">
        <v>504</v>
      </c>
      <c r="L22" s="11" t="s">
        <v>505</v>
      </c>
      <c r="M22" s="11">
        <v>1442</v>
      </c>
      <c r="N22" s="15">
        <f t="shared" si="2"/>
        <v>2.8839999999999999</v>
      </c>
    </row>
    <row r="23" spans="1:14" x14ac:dyDescent="0.25">
      <c r="A23" s="11" t="s">
        <v>50</v>
      </c>
      <c r="B23" s="11" t="s">
        <v>51</v>
      </c>
      <c r="C23" s="11">
        <v>828</v>
      </c>
      <c r="D23" s="15">
        <f t="shared" si="0"/>
        <v>1.6559999999999999</v>
      </c>
      <c r="F23" s="11" t="s">
        <v>307</v>
      </c>
      <c r="G23" s="11" t="s">
        <v>308</v>
      </c>
      <c r="H23" s="11">
        <v>728</v>
      </c>
      <c r="I23" s="12">
        <f t="shared" si="1"/>
        <v>1.456</v>
      </c>
      <c r="K23" s="11" t="s">
        <v>506</v>
      </c>
      <c r="L23" s="11" t="s">
        <v>507</v>
      </c>
      <c r="M23" s="11">
        <v>1292</v>
      </c>
      <c r="N23" s="15">
        <f t="shared" si="2"/>
        <v>2.5840000000000001</v>
      </c>
    </row>
    <row r="24" spans="1:14" x14ac:dyDescent="0.25">
      <c r="A24" s="11" t="s">
        <v>52</v>
      </c>
      <c r="B24" s="11" t="s">
        <v>53</v>
      </c>
      <c r="C24" s="11">
        <v>3450</v>
      </c>
      <c r="D24" s="15">
        <f t="shared" si="0"/>
        <v>6.9</v>
      </c>
      <c r="F24" s="11" t="s">
        <v>309</v>
      </c>
      <c r="G24" s="11" t="s">
        <v>310</v>
      </c>
      <c r="H24" s="11">
        <v>2707</v>
      </c>
      <c r="I24" s="12">
        <f t="shared" si="1"/>
        <v>5.4139999999999997</v>
      </c>
      <c r="K24" s="11" t="s">
        <v>508</v>
      </c>
      <c r="L24" s="11" t="s">
        <v>509</v>
      </c>
      <c r="M24" s="11">
        <v>952</v>
      </c>
      <c r="N24" s="15">
        <f t="shared" si="2"/>
        <v>1.9039999999999999</v>
      </c>
    </row>
    <row r="25" spans="1:14" x14ac:dyDescent="0.25">
      <c r="A25" s="11" t="s">
        <v>54</v>
      </c>
      <c r="B25" s="11" t="s">
        <v>55</v>
      </c>
      <c r="C25" s="11">
        <v>1032</v>
      </c>
      <c r="D25" s="15">
        <f t="shared" si="0"/>
        <v>2.0640000000000001</v>
      </c>
      <c r="F25" s="11" t="s">
        <v>311</v>
      </c>
      <c r="G25" s="11" t="s">
        <v>312</v>
      </c>
      <c r="H25" s="11">
        <v>1597</v>
      </c>
      <c r="I25" s="12">
        <f t="shared" si="1"/>
        <v>3.194</v>
      </c>
      <c r="K25" s="11" t="s">
        <v>510</v>
      </c>
      <c r="L25" s="11" t="s">
        <v>511</v>
      </c>
      <c r="M25" s="11">
        <v>29</v>
      </c>
      <c r="N25" s="15">
        <f t="shared" si="2"/>
        <v>5.8000000000000003E-2</v>
      </c>
    </row>
    <row r="26" spans="1:14" x14ac:dyDescent="0.25">
      <c r="A26" s="11" t="s">
        <v>56</v>
      </c>
      <c r="B26" s="11" t="s">
        <v>57</v>
      </c>
      <c r="C26" s="11">
        <v>285</v>
      </c>
      <c r="D26" s="15">
        <f t="shared" si="0"/>
        <v>0.56999999999999995</v>
      </c>
      <c r="F26" s="11" t="s">
        <v>313</v>
      </c>
      <c r="G26" s="11" t="s">
        <v>314</v>
      </c>
      <c r="H26" s="11">
        <v>7553</v>
      </c>
      <c r="I26" s="12">
        <f t="shared" si="1"/>
        <v>15.106</v>
      </c>
      <c r="K26" s="11" t="s">
        <v>512</v>
      </c>
      <c r="L26" s="11" t="s">
        <v>513</v>
      </c>
      <c r="M26" s="11">
        <v>2437</v>
      </c>
      <c r="N26" s="15">
        <f t="shared" si="2"/>
        <v>4.8739999999999997</v>
      </c>
    </row>
    <row r="27" spans="1:14" x14ac:dyDescent="0.25">
      <c r="A27" s="11" t="s">
        <v>58</v>
      </c>
      <c r="B27" s="11" t="s">
        <v>59</v>
      </c>
      <c r="C27" s="11">
        <v>484</v>
      </c>
      <c r="D27" s="15">
        <f t="shared" si="0"/>
        <v>0.96799999999999997</v>
      </c>
      <c r="F27" s="11" t="s">
        <v>315</v>
      </c>
      <c r="G27" s="11" t="s">
        <v>316</v>
      </c>
      <c r="H27" s="11">
        <v>3032</v>
      </c>
      <c r="I27" s="12">
        <f t="shared" si="1"/>
        <v>6.0640000000000001</v>
      </c>
      <c r="K27" s="11" t="s">
        <v>514</v>
      </c>
      <c r="L27" s="11" t="s">
        <v>515</v>
      </c>
      <c r="M27" s="11">
        <v>4306</v>
      </c>
      <c r="N27" s="15">
        <f t="shared" si="2"/>
        <v>8.6120000000000001</v>
      </c>
    </row>
    <row r="28" spans="1:14" x14ac:dyDescent="0.25">
      <c r="A28" s="11" t="s">
        <v>60</v>
      </c>
      <c r="B28" s="11" t="s">
        <v>61</v>
      </c>
      <c r="C28" s="11">
        <v>2979</v>
      </c>
      <c r="D28" s="15">
        <f t="shared" si="0"/>
        <v>5.9580000000000002</v>
      </c>
      <c r="F28" s="11" t="s">
        <v>317</v>
      </c>
      <c r="G28" s="11" t="s">
        <v>318</v>
      </c>
      <c r="H28" s="11">
        <v>3752</v>
      </c>
      <c r="I28" s="12">
        <f t="shared" si="1"/>
        <v>7.5039999999999996</v>
      </c>
      <c r="K28" s="11" t="s">
        <v>516</v>
      </c>
      <c r="L28" s="11" t="s">
        <v>517</v>
      </c>
      <c r="M28" s="11">
        <v>517</v>
      </c>
      <c r="N28" s="15">
        <f t="shared" si="2"/>
        <v>1.034</v>
      </c>
    </row>
    <row r="29" spans="1:14" x14ac:dyDescent="0.25">
      <c r="A29" s="11" t="s">
        <v>62</v>
      </c>
      <c r="B29" s="11" t="s">
        <v>63</v>
      </c>
      <c r="C29" s="11">
        <v>1987</v>
      </c>
      <c r="D29" s="15">
        <f t="shared" si="0"/>
        <v>3.9740000000000002</v>
      </c>
      <c r="F29" s="11" t="s">
        <v>319</v>
      </c>
      <c r="G29" s="11" t="s">
        <v>320</v>
      </c>
      <c r="H29" s="11">
        <v>7412</v>
      </c>
      <c r="I29" s="12">
        <f t="shared" si="1"/>
        <v>14.824</v>
      </c>
      <c r="K29" s="11" t="s">
        <v>518</v>
      </c>
      <c r="L29" s="11" t="s">
        <v>519</v>
      </c>
      <c r="M29" s="11">
        <v>1288</v>
      </c>
      <c r="N29" s="15">
        <f t="shared" si="2"/>
        <v>2.5760000000000001</v>
      </c>
    </row>
    <row r="30" spans="1:14" x14ac:dyDescent="0.25">
      <c r="A30" s="11" t="s">
        <v>64</v>
      </c>
      <c r="B30" s="11" t="s">
        <v>65</v>
      </c>
      <c r="C30" s="11">
        <v>983</v>
      </c>
      <c r="D30" s="15">
        <f t="shared" si="0"/>
        <v>1.966</v>
      </c>
      <c r="F30" s="11" t="s">
        <v>321</v>
      </c>
      <c r="G30" s="11" t="s">
        <v>322</v>
      </c>
      <c r="H30" s="11">
        <v>4501</v>
      </c>
      <c r="I30" s="12">
        <f t="shared" si="1"/>
        <v>9.0020000000000007</v>
      </c>
      <c r="K30" s="11" t="s">
        <v>520</v>
      </c>
      <c r="L30" s="11" t="s">
        <v>521</v>
      </c>
      <c r="M30" s="11">
        <v>5244</v>
      </c>
      <c r="N30" s="15">
        <f t="shared" si="2"/>
        <v>10.488</v>
      </c>
    </row>
    <row r="31" spans="1:14" x14ac:dyDescent="0.25">
      <c r="A31" s="11" t="s">
        <v>66</v>
      </c>
      <c r="B31" s="11" t="s">
        <v>67</v>
      </c>
      <c r="C31" s="11">
        <v>1405</v>
      </c>
      <c r="D31" s="15">
        <f t="shared" si="0"/>
        <v>2.81</v>
      </c>
      <c r="F31" s="11" t="s">
        <v>323</v>
      </c>
      <c r="G31" s="11" t="s">
        <v>324</v>
      </c>
      <c r="H31" s="11">
        <v>786</v>
      </c>
      <c r="I31" s="12">
        <f t="shared" si="1"/>
        <v>1.5720000000000001</v>
      </c>
      <c r="K31" s="11" t="s">
        <v>522</v>
      </c>
      <c r="L31" s="11" t="s">
        <v>523</v>
      </c>
      <c r="M31" s="11">
        <v>4063</v>
      </c>
      <c r="N31" s="15">
        <f t="shared" si="2"/>
        <v>8.1259999999999994</v>
      </c>
    </row>
    <row r="32" spans="1:14" x14ac:dyDescent="0.25">
      <c r="A32" s="11" t="s">
        <v>68</v>
      </c>
      <c r="B32" s="11" t="s">
        <v>69</v>
      </c>
      <c r="C32" s="11">
        <v>2546</v>
      </c>
      <c r="D32" s="15">
        <f t="shared" si="0"/>
        <v>5.0919999999999996</v>
      </c>
      <c r="F32" s="11" t="s">
        <v>325</v>
      </c>
      <c r="G32" s="11" t="s">
        <v>326</v>
      </c>
      <c r="H32" s="11">
        <v>1062</v>
      </c>
      <c r="I32" s="12">
        <f t="shared" si="1"/>
        <v>2.1240000000000001</v>
      </c>
      <c r="K32" s="11" t="s">
        <v>524</v>
      </c>
      <c r="L32" s="11" t="s">
        <v>525</v>
      </c>
      <c r="M32" s="11">
        <v>0</v>
      </c>
      <c r="N32" s="15">
        <f t="shared" si="2"/>
        <v>0</v>
      </c>
    </row>
    <row r="33" spans="1:14" x14ac:dyDescent="0.25">
      <c r="A33" s="11" t="s">
        <v>70</v>
      </c>
      <c r="B33" s="11" t="s">
        <v>71</v>
      </c>
      <c r="C33" s="11">
        <v>423</v>
      </c>
      <c r="D33" s="15">
        <f t="shared" si="0"/>
        <v>0.84599999999999997</v>
      </c>
      <c r="F33" s="11" t="s">
        <v>327</v>
      </c>
      <c r="G33" s="11" t="s">
        <v>328</v>
      </c>
      <c r="H33" s="11">
        <v>7038</v>
      </c>
      <c r="I33" s="12">
        <f t="shared" si="1"/>
        <v>14.076000000000001</v>
      </c>
      <c r="K33" s="11" t="s">
        <v>526</v>
      </c>
      <c r="L33" s="11" t="s">
        <v>527</v>
      </c>
      <c r="M33" s="11">
        <v>12033</v>
      </c>
      <c r="N33" s="15">
        <f t="shared" si="2"/>
        <v>24.065999999999999</v>
      </c>
    </row>
    <row r="34" spans="1:14" x14ac:dyDescent="0.25">
      <c r="A34" s="11" t="s">
        <v>72</v>
      </c>
      <c r="B34" s="11" t="s">
        <v>73</v>
      </c>
      <c r="C34" s="11">
        <v>279</v>
      </c>
      <c r="D34" s="15">
        <f t="shared" si="0"/>
        <v>0.55800000000000005</v>
      </c>
      <c r="F34" s="11" t="s">
        <v>329</v>
      </c>
      <c r="G34" s="11" t="s">
        <v>330</v>
      </c>
      <c r="H34" s="11">
        <v>3065</v>
      </c>
      <c r="I34" s="12">
        <f t="shared" si="1"/>
        <v>6.13</v>
      </c>
      <c r="K34" s="11" t="s">
        <v>528</v>
      </c>
      <c r="L34" s="11" t="s">
        <v>529</v>
      </c>
      <c r="M34" s="11">
        <v>4354</v>
      </c>
      <c r="N34" s="15">
        <f t="shared" si="2"/>
        <v>8.7080000000000002</v>
      </c>
    </row>
    <row r="35" spans="1:14" x14ac:dyDescent="0.25">
      <c r="A35" s="11" t="s">
        <v>74</v>
      </c>
      <c r="B35" s="11" t="s">
        <v>75</v>
      </c>
      <c r="C35" s="11">
        <v>5094</v>
      </c>
      <c r="D35" s="15">
        <f t="shared" si="0"/>
        <v>10.188000000000001</v>
      </c>
      <c r="F35" s="11" t="s">
        <v>331</v>
      </c>
      <c r="G35" s="11" t="s">
        <v>332</v>
      </c>
      <c r="H35" s="11">
        <v>3138</v>
      </c>
      <c r="I35" s="12">
        <f t="shared" si="1"/>
        <v>6.2759999999999998</v>
      </c>
      <c r="K35" s="11" t="s">
        <v>530</v>
      </c>
      <c r="L35" s="11" t="s">
        <v>531</v>
      </c>
      <c r="M35" s="11">
        <v>1400</v>
      </c>
      <c r="N35" s="15">
        <f t="shared" si="2"/>
        <v>2.8</v>
      </c>
    </row>
    <row r="36" spans="1:14" x14ac:dyDescent="0.25">
      <c r="A36" s="11" t="s">
        <v>76</v>
      </c>
      <c r="B36" s="11" t="s">
        <v>77</v>
      </c>
      <c r="C36" s="11">
        <v>724</v>
      </c>
      <c r="D36" s="15">
        <f t="shared" si="0"/>
        <v>1.448</v>
      </c>
      <c r="F36" s="11" t="s">
        <v>333</v>
      </c>
      <c r="G36" s="11" t="s">
        <v>334</v>
      </c>
      <c r="H36" s="11">
        <v>49</v>
      </c>
      <c r="I36" s="12">
        <f t="shared" si="1"/>
        <v>9.8000000000000004E-2</v>
      </c>
      <c r="K36" s="11" t="s">
        <v>532</v>
      </c>
      <c r="L36" s="11" t="s">
        <v>533</v>
      </c>
      <c r="M36" s="11">
        <v>4523</v>
      </c>
      <c r="N36" s="15">
        <f t="shared" si="2"/>
        <v>9.0459999999999994</v>
      </c>
    </row>
    <row r="37" spans="1:14" x14ac:dyDescent="0.25">
      <c r="A37" s="11" t="s">
        <v>78</v>
      </c>
      <c r="B37" s="11" t="s">
        <v>79</v>
      </c>
      <c r="C37" s="11">
        <v>572</v>
      </c>
      <c r="D37" s="15">
        <f t="shared" si="0"/>
        <v>1.1439999999999999</v>
      </c>
      <c r="F37" s="11" t="s">
        <v>335</v>
      </c>
      <c r="G37" s="11" t="s">
        <v>336</v>
      </c>
      <c r="H37" s="11">
        <v>1458</v>
      </c>
      <c r="I37" s="12">
        <f t="shared" si="1"/>
        <v>2.9159999999999999</v>
      </c>
      <c r="K37" s="11" t="s">
        <v>534</v>
      </c>
      <c r="L37" s="11" t="s">
        <v>535</v>
      </c>
      <c r="M37" s="11">
        <v>0</v>
      </c>
      <c r="N37" s="15">
        <f t="shared" si="2"/>
        <v>0</v>
      </c>
    </row>
    <row r="38" spans="1:14" x14ac:dyDescent="0.25">
      <c r="A38" s="11" t="s">
        <v>80</v>
      </c>
      <c r="B38" s="11" t="s">
        <v>81</v>
      </c>
      <c r="C38" s="11">
        <v>55</v>
      </c>
      <c r="D38" s="15">
        <f t="shared" si="0"/>
        <v>0.11</v>
      </c>
      <c r="F38" s="11" t="s">
        <v>337</v>
      </c>
      <c r="G38" s="11" t="s">
        <v>338</v>
      </c>
      <c r="H38" s="11">
        <v>2893</v>
      </c>
      <c r="I38" s="12">
        <f t="shared" si="1"/>
        <v>5.7859999999999996</v>
      </c>
      <c r="K38" s="11" t="s">
        <v>536</v>
      </c>
      <c r="L38" s="11" t="s">
        <v>537</v>
      </c>
      <c r="M38" s="11">
        <v>2390</v>
      </c>
      <c r="N38" s="15">
        <f t="shared" si="2"/>
        <v>4.78</v>
      </c>
    </row>
    <row r="39" spans="1:14" x14ac:dyDescent="0.25">
      <c r="A39" s="11" t="s">
        <v>82</v>
      </c>
      <c r="B39" s="11" t="s">
        <v>83</v>
      </c>
      <c r="C39" s="11">
        <v>756</v>
      </c>
      <c r="D39" s="15">
        <f t="shared" si="0"/>
        <v>1.512</v>
      </c>
      <c r="F39" s="11" t="s">
        <v>339</v>
      </c>
      <c r="G39" s="11" t="s">
        <v>340</v>
      </c>
      <c r="H39" s="11">
        <v>2627</v>
      </c>
      <c r="I39" s="12">
        <f t="shared" si="1"/>
        <v>5.2539999999999996</v>
      </c>
      <c r="K39" s="11" t="s">
        <v>538</v>
      </c>
      <c r="L39" s="11" t="s">
        <v>539</v>
      </c>
      <c r="M39" s="11">
        <v>3231</v>
      </c>
      <c r="N39" s="15">
        <f t="shared" si="2"/>
        <v>6.4619999999999997</v>
      </c>
    </row>
    <row r="40" spans="1:14" x14ac:dyDescent="0.25">
      <c r="A40" s="11" t="s">
        <v>84</v>
      </c>
      <c r="B40" s="11" t="s">
        <v>85</v>
      </c>
      <c r="C40" s="11">
        <v>2748</v>
      </c>
      <c r="D40" s="15">
        <f t="shared" si="0"/>
        <v>5.4960000000000004</v>
      </c>
      <c r="F40" s="11" t="s">
        <v>341</v>
      </c>
      <c r="G40" s="11" t="s">
        <v>342</v>
      </c>
      <c r="H40" s="11">
        <v>92410</v>
      </c>
      <c r="I40" s="12">
        <f t="shared" si="1"/>
        <v>184.82</v>
      </c>
      <c r="K40" s="11" t="s">
        <v>540</v>
      </c>
      <c r="L40" s="11" t="s">
        <v>541</v>
      </c>
      <c r="M40" s="11">
        <v>972</v>
      </c>
      <c r="N40" s="15">
        <f t="shared" si="2"/>
        <v>1.944</v>
      </c>
    </row>
    <row r="41" spans="1:14" x14ac:dyDescent="0.25">
      <c r="A41" s="11" t="s">
        <v>86</v>
      </c>
      <c r="B41" s="11" t="s">
        <v>87</v>
      </c>
      <c r="C41" s="11">
        <v>1865</v>
      </c>
      <c r="D41" s="15">
        <f t="shared" si="0"/>
        <v>3.73</v>
      </c>
      <c r="F41" s="11" t="s">
        <v>343</v>
      </c>
      <c r="G41" s="11" t="s">
        <v>344</v>
      </c>
      <c r="H41" s="11">
        <v>5774</v>
      </c>
      <c r="I41" s="12">
        <f t="shared" si="1"/>
        <v>11.548</v>
      </c>
      <c r="K41" s="11" t="s">
        <v>542</v>
      </c>
      <c r="L41" s="11" t="s">
        <v>543</v>
      </c>
      <c r="M41" s="11">
        <v>1093</v>
      </c>
      <c r="N41" s="15">
        <f t="shared" si="2"/>
        <v>2.1859999999999999</v>
      </c>
    </row>
    <row r="42" spans="1:14" x14ac:dyDescent="0.25">
      <c r="A42" s="11" t="s">
        <v>88</v>
      </c>
      <c r="B42" s="11" t="s">
        <v>89</v>
      </c>
      <c r="C42" s="11">
        <v>5065</v>
      </c>
      <c r="D42" s="15">
        <f t="shared" si="0"/>
        <v>10.130000000000001</v>
      </c>
      <c r="F42" s="11" t="s">
        <v>345</v>
      </c>
      <c r="G42" s="11" t="s">
        <v>346</v>
      </c>
      <c r="H42" s="11">
        <v>5888</v>
      </c>
      <c r="I42" s="12">
        <f t="shared" si="1"/>
        <v>11.776</v>
      </c>
      <c r="K42" s="11" t="s">
        <v>544</v>
      </c>
      <c r="L42" s="11" t="s">
        <v>545</v>
      </c>
      <c r="M42" s="11">
        <v>9645</v>
      </c>
      <c r="N42" s="15">
        <f t="shared" si="2"/>
        <v>19.29</v>
      </c>
    </row>
    <row r="43" spans="1:14" x14ac:dyDescent="0.25">
      <c r="A43" s="11" t="s">
        <v>90</v>
      </c>
      <c r="B43" s="11" t="s">
        <v>91</v>
      </c>
      <c r="C43" s="11">
        <v>2235</v>
      </c>
      <c r="D43" s="15">
        <f t="shared" si="0"/>
        <v>4.47</v>
      </c>
      <c r="F43" s="11" t="s">
        <v>347</v>
      </c>
      <c r="G43" s="11" t="s">
        <v>348</v>
      </c>
      <c r="H43" s="11">
        <v>7535</v>
      </c>
      <c r="I43" s="12">
        <f t="shared" si="1"/>
        <v>15.07</v>
      </c>
      <c r="K43" s="11" t="s">
        <v>546</v>
      </c>
      <c r="L43" s="11" t="s">
        <v>547</v>
      </c>
      <c r="M43" s="11">
        <v>1009</v>
      </c>
      <c r="N43" s="15">
        <f t="shared" si="2"/>
        <v>2.0179999999999998</v>
      </c>
    </row>
    <row r="44" spans="1:14" x14ac:dyDescent="0.25">
      <c r="A44" s="11" t="s">
        <v>92</v>
      </c>
      <c r="B44" s="11" t="s">
        <v>93</v>
      </c>
      <c r="C44" s="11">
        <v>255</v>
      </c>
      <c r="D44" s="15">
        <f t="shared" si="0"/>
        <v>0.51</v>
      </c>
      <c r="F44" s="11" t="s">
        <v>349</v>
      </c>
      <c r="G44" s="11" t="s">
        <v>350</v>
      </c>
      <c r="H44" s="11">
        <v>9478</v>
      </c>
      <c r="I44" s="12">
        <f t="shared" si="1"/>
        <v>18.956</v>
      </c>
      <c r="K44" s="11" t="s">
        <v>548</v>
      </c>
      <c r="L44" s="11" t="s">
        <v>549</v>
      </c>
      <c r="M44" s="11">
        <v>1288</v>
      </c>
      <c r="N44" s="15">
        <f t="shared" si="2"/>
        <v>2.5760000000000001</v>
      </c>
    </row>
    <row r="45" spans="1:14" x14ac:dyDescent="0.25">
      <c r="A45" s="11" t="s">
        <v>94</v>
      </c>
      <c r="B45" s="11" t="s">
        <v>95</v>
      </c>
      <c r="C45" s="11">
        <v>1363</v>
      </c>
      <c r="D45" s="15">
        <f t="shared" si="0"/>
        <v>2.726</v>
      </c>
      <c r="F45" s="11" t="s">
        <v>351</v>
      </c>
      <c r="G45" s="11" t="s">
        <v>352</v>
      </c>
      <c r="H45" s="11">
        <v>3612</v>
      </c>
      <c r="I45" s="12">
        <f t="shared" si="1"/>
        <v>7.2240000000000002</v>
      </c>
      <c r="K45" s="11" t="s">
        <v>550</v>
      </c>
      <c r="L45" s="11" t="s">
        <v>551</v>
      </c>
      <c r="M45" s="11">
        <v>2179</v>
      </c>
      <c r="N45" s="15">
        <f t="shared" si="2"/>
        <v>4.3579999999999997</v>
      </c>
    </row>
    <row r="46" spans="1:14" x14ac:dyDescent="0.25">
      <c r="A46" s="11" t="s">
        <v>96</v>
      </c>
      <c r="B46" s="11" t="s">
        <v>97</v>
      </c>
      <c r="C46" s="11">
        <v>1346</v>
      </c>
      <c r="D46" s="15">
        <f t="shared" si="0"/>
        <v>2.6920000000000002</v>
      </c>
      <c r="F46" s="11" t="s">
        <v>353</v>
      </c>
      <c r="G46" s="11" t="s">
        <v>354</v>
      </c>
      <c r="H46" s="11">
        <v>4606</v>
      </c>
      <c r="I46" s="12">
        <f t="shared" si="1"/>
        <v>9.2119999999999997</v>
      </c>
      <c r="K46" s="11" t="s">
        <v>552</v>
      </c>
      <c r="L46" s="11" t="s">
        <v>553</v>
      </c>
      <c r="M46" s="11">
        <v>3868</v>
      </c>
      <c r="N46" s="15">
        <f t="shared" si="2"/>
        <v>7.7359999999999998</v>
      </c>
    </row>
    <row r="47" spans="1:14" x14ac:dyDescent="0.25">
      <c r="A47" s="11" t="s">
        <v>98</v>
      </c>
      <c r="B47" s="11" t="s">
        <v>99</v>
      </c>
      <c r="C47" s="11">
        <v>4672</v>
      </c>
      <c r="D47" s="15">
        <f t="shared" si="0"/>
        <v>9.3439999999999994</v>
      </c>
      <c r="F47" s="11" t="s">
        <v>355</v>
      </c>
      <c r="G47" s="11" t="s">
        <v>356</v>
      </c>
      <c r="H47" s="11">
        <v>2520</v>
      </c>
      <c r="I47" s="12">
        <f t="shared" si="1"/>
        <v>5.04</v>
      </c>
      <c r="K47" s="11" t="s">
        <v>554</v>
      </c>
      <c r="L47" s="11" t="s">
        <v>555</v>
      </c>
      <c r="M47" s="11">
        <v>0</v>
      </c>
      <c r="N47" s="15">
        <f t="shared" si="2"/>
        <v>0</v>
      </c>
    </row>
    <row r="48" spans="1:14" x14ac:dyDescent="0.25">
      <c r="A48" s="11" t="s">
        <v>100</v>
      </c>
      <c r="B48" s="11" t="s">
        <v>101</v>
      </c>
      <c r="C48" s="11">
        <v>469</v>
      </c>
      <c r="D48" s="15">
        <f t="shared" si="0"/>
        <v>0.93799999999999994</v>
      </c>
      <c r="F48" s="11" t="s">
        <v>357</v>
      </c>
      <c r="G48" s="11" t="s">
        <v>358</v>
      </c>
      <c r="H48" s="11">
        <v>8543</v>
      </c>
      <c r="I48" s="12">
        <f t="shared" si="1"/>
        <v>17.085999999999999</v>
      </c>
      <c r="K48" s="11" t="s">
        <v>556</v>
      </c>
      <c r="L48" s="11" t="s">
        <v>557</v>
      </c>
      <c r="M48" s="11">
        <v>2800</v>
      </c>
      <c r="N48" s="15">
        <f t="shared" si="2"/>
        <v>5.6</v>
      </c>
    </row>
    <row r="49" spans="1:14" x14ac:dyDescent="0.25">
      <c r="A49" s="11" t="s">
        <v>102</v>
      </c>
      <c r="B49" s="11" t="s">
        <v>103</v>
      </c>
      <c r="C49" s="11">
        <v>1117</v>
      </c>
      <c r="D49" s="15">
        <f t="shared" si="0"/>
        <v>2.234</v>
      </c>
      <c r="F49" s="11" t="s">
        <v>359</v>
      </c>
      <c r="G49" s="11" t="s">
        <v>360</v>
      </c>
      <c r="H49" s="11">
        <v>1104</v>
      </c>
      <c r="I49" s="12">
        <f t="shared" si="1"/>
        <v>2.2080000000000002</v>
      </c>
      <c r="K49" s="11" t="s">
        <v>558</v>
      </c>
      <c r="L49" s="11" t="s">
        <v>559</v>
      </c>
      <c r="M49" s="11">
        <v>1075</v>
      </c>
      <c r="N49" s="15">
        <f t="shared" si="2"/>
        <v>2.15</v>
      </c>
    </row>
    <row r="50" spans="1:14" x14ac:dyDescent="0.25">
      <c r="A50" s="11" t="s">
        <v>104</v>
      </c>
      <c r="B50" s="11" t="s">
        <v>105</v>
      </c>
      <c r="C50" s="11">
        <v>21</v>
      </c>
      <c r="D50" s="15">
        <f t="shared" si="0"/>
        <v>4.2000000000000003E-2</v>
      </c>
      <c r="F50" s="11" t="s">
        <v>361</v>
      </c>
      <c r="G50" s="11" t="s">
        <v>362</v>
      </c>
      <c r="H50" s="11">
        <v>10167</v>
      </c>
      <c r="I50" s="12">
        <f t="shared" si="1"/>
        <v>20.334</v>
      </c>
      <c r="K50" s="11" t="s">
        <v>560</v>
      </c>
      <c r="L50" s="11" t="s">
        <v>561</v>
      </c>
      <c r="M50" s="11">
        <v>2786</v>
      </c>
      <c r="N50" s="15">
        <f t="shared" si="2"/>
        <v>5.5720000000000001</v>
      </c>
    </row>
    <row r="51" spans="1:14" x14ac:dyDescent="0.25">
      <c r="A51" s="11" t="s">
        <v>106</v>
      </c>
      <c r="B51" s="11" t="s">
        <v>107</v>
      </c>
      <c r="C51" s="11">
        <v>7706</v>
      </c>
      <c r="D51" s="15">
        <f t="shared" si="0"/>
        <v>15.412000000000001</v>
      </c>
      <c r="F51" s="11" t="s">
        <v>361</v>
      </c>
      <c r="G51" s="11" t="s">
        <v>363</v>
      </c>
      <c r="H51" s="11">
        <v>3489</v>
      </c>
      <c r="I51" s="12">
        <f t="shared" si="1"/>
        <v>6.9779999999999998</v>
      </c>
      <c r="K51" s="11" t="s">
        <v>562</v>
      </c>
      <c r="L51" s="11" t="s">
        <v>563</v>
      </c>
      <c r="M51" s="11">
        <v>2247</v>
      </c>
      <c r="N51" s="15">
        <f t="shared" si="2"/>
        <v>4.4939999999999998</v>
      </c>
    </row>
    <row r="52" spans="1:14" x14ac:dyDescent="0.25">
      <c r="A52" s="11" t="s">
        <v>108</v>
      </c>
      <c r="B52" s="11" t="s">
        <v>109</v>
      </c>
      <c r="C52" s="11">
        <v>538</v>
      </c>
      <c r="D52" s="15">
        <f t="shared" si="0"/>
        <v>1.0760000000000001</v>
      </c>
      <c r="F52" s="11" t="s">
        <v>364</v>
      </c>
      <c r="G52" s="11" t="s">
        <v>365</v>
      </c>
      <c r="H52" s="11">
        <v>2385</v>
      </c>
      <c r="I52" s="12">
        <f t="shared" si="1"/>
        <v>4.7699999999999996</v>
      </c>
      <c r="K52" s="11" t="s">
        <v>564</v>
      </c>
      <c r="L52" s="11" t="s">
        <v>565</v>
      </c>
      <c r="M52" s="11">
        <v>1681</v>
      </c>
      <c r="N52" s="15">
        <f t="shared" si="2"/>
        <v>3.3620000000000001</v>
      </c>
    </row>
    <row r="53" spans="1:14" x14ac:dyDescent="0.25">
      <c r="A53" s="11" t="s">
        <v>110</v>
      </c>
      <c r="B53" s="11" t="s">
        <v>111</v>
      </c>
      <c r="C53" s="11">
        <v>208</v>
      </c>
      <c r="D53" s="15">
        <f t="shared" si="0"/>
        <v>0.41599999999999998</v>
      </c>
      <c r="F53" s="11" t="s">
        <v>366</v>
      </c>
      <c r="G53" s="11" t="s">
        <v>367</v>
      </c>
      <c r="H53" s="11">
        <v>4683</v>
      </c>
      <c r="I53" s="12">
        <f t="shared" si="1"/>
        <v>9.3659999999999997</v>
      </c>
      <c r="K53" s="11" t="s">
        <v>566</v>
      </c>
      <c r="L53" s="11" t="s">
        <v>567</v>
      </c>
      <c r="M53" s="11">
        <v>9362</v>
      </c>
      <c r="N53" s="15">
        <f t="shared" si="2"/>
        <v>18.724</v>
      </c>
    </row>
    <row r="54" spans="1:14" x14ac:dyDescent="0.25">
      <c r="A54" s="11" t="s">
        <v>112</v>
      </c>
      <c r="B54" s="11" t="s">
        <v>113</v>
      </c>
      <c r="C54" s="11">
        <v>360</v>
      </c>
      <c r="D54" s="15">
        <f t="shared" si="0"/>
        <v>0.72</v>
      </c>
      <c r="F54" s="11" t="s">
        <v>368</v>
      </c>
      <c r="G54" s="11" t="s">
        <v>369</v>
      </c>
      <c r="H54" s="11">
        <v>5374</v>
      </c>
      <c r="I54" s="12">
        <f t="shared" si="1"/>
        <v>10.747999999999999</v>
      </c>
      <c r="K54" s="11" t="s">
        <v>568</v>
      </c>
      <c r="L54" s="11" t="s">
        <v>569</v>
      </c>
      <c r="M54" s="11">
        <v>7187</v>
      </c>
      <c r="N54" s="15">
        <f t="shared" si="2"/>
        <v>14.374000000000001</v>
      </c>
    </row>
    <row r="55" spans="1:14" x14ac:dyDescent="0.25">
      <c r="A55" s="11" t="s">
        <v>114</v>
      </c>
      <c r="B55" s="11" t="s">
        <v>115</v>
      </c>
      <c r="C55" s="11">
        <v>500</v>
      </c>
      <c r="D55" s="15">
        <f t="shared" si="0"/>
        <v>1</v>
      </c>
      <c r="F55" s="11" t="s">
        <v>370</v>
      </c>
      <c r="G55" s="11" t="s">
        <v>371</v>
      </c>
      <c r="H55" s="11">
        <v>7669</v>
      </c>
      <c r="I55" s="12">
        <f t="shared" si="1"/>
        <v>15.337999999999999</v>
      </c>
      <c r="K55" s="11" t="s">
        <v>570</v>
      </c>
      <c r="L55" s="11" t="s">
        <v>571</v>
      </c>
      <c r="M55" s="11">
        <v>1684</v>
      </c>
      <c r="N55" s="15">
        <f t="shared" si="2"/>
        <v>3.3679999999999999</v>
      </c>
    </row>
    <row r="56" spans="1:14" x14ac:dyDescent="0.25">
      <c r="A56" s="11" t="s">
        <v>116</v>
      </c>
      <c r="B56" s="11" t="s">
        <v>117</v>
      </c>
      <c r="C56" s="11">
        <v>1473</v>
      </c>
      <c r="D56" s="15">
        <f t="shared" si="0"/>
        <v>2.9460000000000002</v>
      </c>
      <c r="F56" s="11" t="s">
        <v>372</v>
      </c>
      <c r="G56" s="11" t="s">
        <v>373</v>
      </c>
      <c r="H56" s="11">
        <v>5018</v>
      </c>
      <c r="I56" s="12">
        <f t="shared" si="1"/>
        <v>10.036</v>
      </c>
      <c r="K56" s="11" t="s">
        <v>572</v>
      </c>
      <c r="L56" s="11" t="s">
        <v>573</v>
      </c>
      <c r="M56" s="11">
        <v>3022</v>
      </c>
      <c r="N56" s="15">
        <f t="shared" si="2"/>
        <v>6.0439999999999996</v>
      </c>
    </row>
    <row r="57" spans="1:14" x14ac:dyDescent="0.25">
      <c r="A57" s="11" t="s">
        <v>118</v>
      </c>
      <c r="B57" s="11" t="s">
        <v>119</v>
      </c>
      <c r="C57" s="11">
        <v>2687</v>
      </c>
      <c r="D57" s="15">
        <f t="shared" si="0"/>
        <v>5.3739999999999997</v>
      </c>
      <c r="F57" s="11" t="s">
        <v>374</v>
      </c>
      <c r="G57" s="11" t="s">
        <v>375</v>
      </c>
      <c r="H57" s="11">
        <v>3448</v>
      </c>
      <c r="I57" s="12">
        <f t="shared" si="1"/>
        <v>6.8959999999999999</v>
      </c>
      <c r="K57" s="11" t="s">
        <v>574</v>
      </c>
      <c r="L57" s="11" t="s">
        <v>575</v>
      </c>
      <c r="M57" s="11">
        <v>2557</v>
      </c>
      <c r="N57" s="15">
        <f t="shared" si="2"/>
        <v>5.1139999999999999</v>
      </c>
    </row>
    <row r="58" spans="1:14" x14ac:dyDescent="0.25">
      <c r="A58" s="11" t="s">
        <v>120</v>
      </c>
      <c r="B58" s="11" t="s">
        <v>121</v>
      </c>
      <c r="C58" s="11">
        <v>912</v>
      </c>
      <c r="D58" s="15">
        <f t="shared" si="0"/>
        <v>1.8240000000000001</v>
      </c>
      <c r="F58" s="11" t="s">
        <v>376</v>
      </c>
      <c r="G58" s="11" t="s">
        <v>377</v>
      </c>
      <c r="H58" s="11">
        <v>12918</v>
      </c>
      <c r="I58" s="12">
        <f t="shared" si="1"/>
        <v>25.835999999999999</v>
      </c>
      <c r="K58" s="11" t="s">
        <v>576</v>
      </c>
      <c r="L58" s="11" t="s">
        <v>577</v>
      </c>
      <c r="M58" s="11">
        <v>1159</v>
      </c>
      <c r="N58" s="15">
        <f t="shared" si="2"/>
        <v>2.3180000000000001</v>
      </c>
    </row>
    <row r="59" spans="1:14" x14ac:dyDescent="0.25">
      <c r="A59" s="11" t="s">
        <v>122</v>
      </c>
      <c r="B59" s="11" t="s">
        <v>123</v>
      </c>
      <c r="C59" s="11">
        <v>484</v>
      </c>
      <c r="D59" s="15">
        <f t="shared" si="0"/>
        <v>0.96799999999999997</v>
      </c>
      <c r="F59" s="11" t="s">
        <v>378</v>
      </c>
      <c r="G59" s="11" t="s">
        <v>379</v>
      </c>
      <c r="H59" s="11">
        <v>164</v>
      </c>
      <c r="I59" s="12">
        <f t="shared" si="1"/>
        <v>0.32800000000000001</v>
      </c>
      <c r="K59" s="11" t="s">
        <v>578</v>
      </c>
      <c r="L59" s="11" t="s">
        <v>579</v>
      </c>
      <c r="M59" s="11">
        <v>1123</v>
      </c>
      <c r="N59" s="15">
        <f t="shared" si="2"/>
        <v>2.246</v>
      </c>
    </row>
    <row r="60" spans="1:14" x14ac:dyDescent="0.25">
      <c r="A60" s="11" t="s">
        <v>124</v>
      </c>
      <c r="B60" s="11" t="s">
        <v>125</v>
      </c>
      <c r="C60" s="11">
        <v>2054</v>
      </c>
      <c r="D60" s="15">
        <f t="shared" si="0"/>
        <v>4.1079999999999997</v>
      </c>
      <c r="F60" s="11" t="s">
        <v>380</v>
      </c>
      <c r="G60" s="11" t="s">
        <v>381</v>
      </c>
      <c r="H60" s="11">
        <v>205</v>
      </c>
      <c r="I60" s="12">
        <f t="shared" si="1"/>
        <v>0.41</v>
      </c>
      <c r="K60" s="11" t="s">
        <v>580</v>
      </c>
      <c r="L60" s="11" t="s">
        <v>581</v>
      </c>
      <c r="M60" s="11">
        <v>2156</v>
      </c>
      <c r="N60" s="15">
        <f t="shared" si="2"/>
        <v>4.3120000000000003</v>
      </c>
    </row>
    <row r="61" spans="1:14" x14ac:dyDescent="0.25">
      <c r="A61" s="11" t="s">
        <v>126</v>
      </c>
      <c r="B61" s="11" t="s">
        <v>127</v>
      </c>
      <c r="C61" s="11">
        <v>832</v>
      </c>
      <c r="D61" s="15">
        <f t="shared" si="0"/>
        <v>1.6639999999999999</v>
      </c>
      <c r="F61" s="11" t="s">
        <v>382</v>
      </c>
      <c r="G61" s="11" t="s">
        <v>383</v>
      </c>
      <c r="H61" s="11">
        <v>1266</v>
      </c>
      <c r="I61" s="12">
        <f t="shared" si="1"/>
        <v>2.532</v>
      </c>
      <c r="K61" s="11" t="s">
        <v>582</v>
      </c>
      <c r="L61" s="11" t="s">
        <v>583</v>
      </c>
      <c r="M61" s="11">
        <v>585</v>
      </c>
      <c r="N61" s="15">
        <f t="shared" si="2"/>
        <v>1.17</v>
      </c>
    </row>
    <row r="62" spans="1:14" x14ac:dyDescent="0.25">
      <c r="A62" s="11" t="s">
        <v>776</v>
      </c>
      <c r="B62" s="11" t="s">
        <v>129</v>
      </c>
      <c r="C62" s="11">
        <v>210</v>
      </c>
      <c r="D62" s="15">
        <f t="shared" si="0"/>
        <v>0.42</v>
      </c>
      <c r="F62" s="11" t="s">
        <v>384</v>
      </c>
      <c r="G62" s="11" t="s">
        <v>385</v>
      </c>
      <c r="H62" s="11">
        <v>4140</v>
      </c>
      <c r="I62" s="12">
        <f t="shared" si="1"/>
        <v>8.2799999999999994</v>
      </c>
      <c r="K62" s="11" t="s">
        <v>584</v>
      </c>
      <c r="L62" s="11" t="s">
        <v>585</v>
      </c>
      <c r="M62" s="11">
        <v>954</v>
      </c>
      <c r="N62" s="15">
        <f t="shared" si="2"/>
        <v>1.9079999999999999</v>
      </c>
    </row>
    <row r="63" spans="1:14" x14ac:dyDescent="0.25">
      <c r="A63" s="11" t="s">
        <v>130</v>
      </c>
      <c r="B63" s="11" t="s">
        <v>131</v>
      </c>
      <c r="C63" s="11">
        <v>2454</v>
      </c>
      <c r="D63" s="15">
        <f t="shared" si="0"/>
        <v>4.9080000000000004</v>
      </c>
      <c r="F63" s="11" t="s">
        <v>386</v>
      </c>
      <c r="G63" s="11" t="s">
        <v>387</v>
      </c>
      <c r="H63" s="11">
        <v>2174</v>
      </c>
      <c r="I63" s="12">
        <f t="shared" si="1"/>
        <v>4.3479999999999999</v>
      </c>
      <c r="K63" s="11" t="s">
        <v>586</v>
      </c>
      <c r="L63" s="11" t="s">
        <v>587</v>
      </c>
      <c r="M63" s="11">
        <v>46202</v>
      </c>
      <c r="N63" s="15">
        <f t="shared" si="2"/>
        <v>92.403999999999996</v>
      </c>
    </row>
    <row r="64" spans="1:14" x14ac:dyDescent="0.25">
      <c r="A64" s="11" t="s">
        <v>132</v>
      </c>
      <c r="B64" s="11" t="s">
        <v>133</v>
      </c>
      <c r="C64" s="11">
        <v>137</v>
      </c>
      <c r="D64" s="15">
        <f t="shared" si="0"/>
        <v>0.27400000000000002</v>
      </c>
      <c r="F64" s="11" t="s">
        <v>388</v>
      </c>
      <c r="G64" s="11" t="s">
        <v>389</v>
      </c>
      <c r="H64" s="11">
        <v>911</v>
      </c>
      <c r="I64" s="12">
        <f t="shared" si="1"/>
        <v>1.8220000000000001</v>
      </c>
      <c r="K64" s="11" t="s">
        <v>588</v>
      </c>
      <c r="L64" s="11" t="s">
        <v>589</v>
      </c>
      <c r="M64" s="11">
        <v>2226</v>
      </c>
      <c r="N64" s="15">
        <f t="shared" si="2"/>
        <v>4.452</v>
      </c>
    </row>
    <row r="65" spans="1:14" x14ac:dyDescent="0.25">
      <c r="A65" s="11" t="s">
        <v>136</v>
      </c>
      <c r="B65" s="11" t="s">
        <v>137</v>
      </c>
      <c r="C65" s="11">
        <v>735</v>
      </c>
      <c r="D65" s="15">
        <f t="shared" si="0"/>
        <v>1.47</v>
      </c>
      <c r="F65" s="11" t="s">
        <v>390</v>
      </c>
      <c r="G65" s="11" t="s">
        <v>391</v>
      </c>
      <c r="H65" s="11">
        <v>0</v>
      </c>
      <c r="I65" s="12">
        <f t="shared" si="1"/>
        <v>0</v>
      </c>
      <c r="K65" s="11" t="s">
        <v>590</v>
      </c>
      <c r="L65" s="11" t="s">
        <v>591</v>
      </c>
      <c r="M65" s="11">
        <v>905</v>
      </c>
      <c r="N65" s="15">
        <f t="shared" si="2"/>
        <v>1.81</v>
      </c>
    </row>
    <row r="66" spans="1:14" x14ac:dyDescent="0.25">
      <c r="A66" s="11" t="s">
        <v>18</v>
      </c>
      <c r="B66" s="11" t="s">
        <v>19</v>
      </c>
      <c r="C66" s="11">
        <v>1260</v>
      </c>
      <c r="D66" s="15">
        <f t="shared" si="0"/>
        <v>2.52</v>
      </c>
      <c r="F66" s="11" t="s">
        <v>5</v>
      </c>
      <c r="G66" s="11" t="s">
        <v>392</v>
      </c>
      <c r="H66" s="11">
        <v>2038</v>
      </c>
      <c r="I66" s="12">
        <f t="shared" si="1"/>
        <v>4.0759999999999996</v>
      </c>
      <c r="K66" s="11" t="s">
        <v>592</v>
      </c>
      <c r="L66" s="11" t="s">
        <v>593</v>
      </c>
      <c r="M66" s="11">
        <v>922</v>
      </c>
      <c r="N66" s="15">
        <f t="shared" si="2"/>
        <v>1.8440000000000001</v>
      </c>
    </row>
    <row r="67" spans="1:14" x14ac:dyDescent="0.25">
      <c r="A67" s="11" t="s">
        <v>30</v>
      </c>
      <c r="B67" s="11" t="s">
        <v>31</v>
      </c>
      <c r="C67" s="11">
        <v>1669</v>
      </c>
      <c r="D67" s="15">
        <f t="shared" si="0"/>
        <v>3.3380000000000001</v>
      </c>
      <c r="F67" s="11" t="s">
        <v>393</v>
      </c>
      <c r="G67" s="11" t="s">
        <v>394</v>
      </c>
      <c r="H67" s="11">
        <v>502</v>
      </c>
      <c r="I67" s="12">
        <f t="shared" si="1"/>
        <v>1.004</v>
      </c>
      <c r="K67" s="11" t="s">
        <v>594</v>
      </c>
      <c r="L67" s="11" t="s">
        <v>595</v>
      </c>
      <c r="M67" s="11">
        <v>511</v>
      </c>
      <c r="N67" s="15">
        <f t="shared" si="2"/>
        <v>1.022</v>
      </c>
    </row>
    <row r="68" spans="1:14" x14ac:dyDescent="0.25">
      <c r="A68" s="11" t="s">
        <v>134</v>
      </c>
      <c r="B68" s="11" t="s">
        <v>135</v>
      </c>
      <c r="C68" s="11">
        <v>3</v>
      </c>
      <c r="D68" s="15">
        <f t="shared" ref="D68:D130" si="3">C68/500</f>
        <v>6.0000000000000001E-3</v>
      </c>
      <c r="F68" s="11" t="s">
        <v>395</v>
      </c>
      <c r="G68" s="11" t="s">
        <v>396</v>
      </c>
      <c r="H68" s="11">
        <v>2692</v>
      </c>
      <c r="I68" s="12">
        <f t="shared" ref="I68:I106" si="4">H68/500</f>
        <v>5.3840000000000003</v>
      </c>
      <c r="K68" s="11" t="s">
        <v>596</v>
      </c>
      <c r="L68" s="11" t="s">
        <v>597</v>
      </c>
      <c r="M68" s="11">
        <v>894</v>
      </c>
      <c r="N68" s="15">
        <f t="shared" ref="N68:N131" si="5">M68/500</f>
        <v>1.788</v>
      </c>
    </row>
    <row r="69" spans="1:14" x14ac:dyDescent="0.25">
      <c r="A69" s="11" t="s">
        <v>138</v>
      </c>
      <c r="B69" s="11" t="s">
        <v>139</v>
      </c>
      <c r="C69" s="11">
        <v>500</v>
      </c>
      <c r="D69" s="15">
        <f t="shared" si="3"/>
        <v>1</v>
      </c>
      <c r="F69" s="11" t="s">
        <v>397</v>
      </c>
      <c r="G69" s="11" t="s">
        <v>398</v>
      </c>
      <c r="H69" s="11">
        <v>4769</v>
      </c>
      <c r="I69" s="12">
        <f t="shared" si="4"/>
        <v>9.5380000000000003</v>
      </c>
      <c r="K69" s="11" t="s">
        <v>598</v>
      </c>
      <c r="L69" s="11" t="s">
        <v>599</v>
      </c>
      <c r="M69" s="11">
        <v>1352</v>
      </c>
      <c r="N69" s="15">
        <f t="shared" si="5"/>
        <v>2.7040000000000002</v>
      </c>
    </row>
    <row r="70" spans="1:14" x14ac:dyDescent="0.25">
      <c r="A70" s="11" t="s">
        <v>138</v>
      </c>
      <c r="B70" s="11" t="s">
        <v>140</v>
      </c>
      <c r="C70" s="11">
        <v>498</v>
      </c>
      <c r="D70" s="15">
        <f t="shared" si="3"/>
        <v>0.996</v>
      </c>
      <c r="F70" s="11" t="s">
        <v>399</v>
      </c>
      <c r="G70" s="11" t="s">
        <v>400</v>
      </c>
      <c r="H70" s="11">
        <v>6263</v>
      </c>
      <c r="I70" s="12">
        <f t="shared" si="4"/>
        <v>12.526</v>
      </c>
      <c r="K70" s="11" t="s">
        <v>600</v>
      </c>
      <c r="L70" s="11" t="s">
        <v>601</v>
      </c>
      <c r="M70" s="11">
        <v>1984</v>
      </c>
      <c r="N70" s="15">
        <f t="shared" si="5"/>
        <v>3.968</v>
      </c>
    </row>
    <row r="71" spans="1:14" x14ac:dyDescent="0.25">
      <c r="A71" s="11" t="s">
        <v>141</v>
      </c>
      <c r="B71" s="11" t="s">
        <v>142</v>
      </c>
      <c r="C71" s="11">
        <v>298</v>
      </c>
      <c r="D71" s="15">
        <f t="shared" si="3"/>
        <v>0.59599999999999997</v>
      </c>
      <c r="F71" s="11" t="s">
        <v>401</v>
      </c>
      <c r="G71" s="11" t="s">
        <v>402</v>
      </c>
      <c r="H71" s="11">
        <v>13218</v>
      </c>
      <c r="I71" s="12">
        <f t="shared" si="4"/>
        <v>26.436</v>
      </c>
      <c r="K71" s="11" t="s">
        <v>602</v>
      </c>
      <c r="L71" s="11" t="s">
        <v>603</v>
      </c>
      <c r="M71" s="11">
        <v>85</v>
      </c>
      <c r="N71" s="15">
        <f t="shared" si="5"/>
        <v>0.17</v>
      </c>
    </row>
    <row r="72" spans="1:14" x14ac:dyDescent="0.25">
      <c r="A72" s="11" t="s">
        <v>143</v>
      </c>
      <c r="B72" s="11" t="s">
        <v>144</v>
      </c>
      <c r="C72" s="11">
        <v>1034</v>
      </c>
      <c r="D72" s="15">
        <f t="shared" si="3"/>
        <v>2.0680000000000001</v>
      </c>
      <c r="F72" s="11" t="s">
        <v>403</v>
      </c>
      <c r="G72" s="11" t="s">
        <v>404</v>
      </c>
      <c r="H72" s="11">
        <v>1151</v>
      </c>
      <c r="I72" s="12">
        <f t="shared" si="4"/>
        <v>2.302</v>
      </c>
      <c r="K72" s="11" t="s">
        <v>604</v>
      </c>
      <c r="L72" s="11" t="s">
        <v>605</v>
      </c>
      <c r="M72" s="11">
        <v>2258</v>
      </c>
      <c r="N72" s="15">
        <f t="shared" si="5"/>
        <v>4.516</v>
      </c>
    </row>
    <row r="73" spans="1:14" x14ac:dyDescent="0.25">
      <c r="A73" s="11" t="s">
        <v>145</v>
      </c>
      <c r="B73" s="11" t="s">
        <v>146</v>
      </c>
      <c r="C73" s="11">
        <v>221</v>
      </c>
      <c r="D73" s="15">
        <f t="shared" si="3"/>
        <v>0.442</v>
      </c>
      <c r="F73" s="11" t="s">
        <v>405</v>
      </c>
      <c r="G73" s="11" t="s">
        <v>406</v>
      </c>
      <c r="H73" s="11">
        <v>1229</v>
      </c>
      <c r="I73" s="12">
        <f t="shared" si="4"/>
        <v>2.4580000000000002</v>
      </c>
      <c r="K73" s="11" t="s">
        <v>606</v>
      </c>
      <c r="L73" s="11" t="s">
        <v>607</v>
      </c>
      <c r="M73" s="11">
        <v>72</v>
      </c>
      <c r="N73" s="15">
        <f t="shared" si="5"/>
        <v>0.14399999999999999</v>
      </c>
    </row>
    <row r="74" spans="1:14" x14ac:dyDescent="0.25">
      <c r="A74" s="11" t="s">
        <v>147</v>
      </c>
      <c r="B74" s="11" t="s">
        <v>148</v>
      </c>
      <c r="C74" s="11">
        <v>5246</v>
      </c>
      <c r="D74" s="15">
        <f t="shared" si="3"/>
        <v>10.492000000000001</v>
      </c>
      <c r="F74" s="11" t="s">
        <v>407</v>
      </c>
      <c r="G74" s="11" t="s">
        <v>408</v>
      </c>
      <c r="H74" s="11">
        <v>1217</v>
      </c>
      <c r="I74" s="12">
        <f t="shared" si="4"/>
        <v>2.4340000000000002</v>
      </c>
      <c r="K74" s="11" t="s">
        <v>608</v>
      </c>
      <c r="L74" s="11" t="s">
        <v>609</v>
      </c>
      <c r="M74" s="11">
        <v>137</v>
      </c>
      <c r="N74" s="15">
        <f t="shared" si="5"/>
        <v>0.27400000000000002</v>
      </c>
    </row>
    <row r="75" spans="1:14" x14ac:dyDescent="0.25">
      <c r="A75" s="11" t="s">
        <v>149</v>
      </c>
      <c r="B75" s="11" t="s">
        <v>150</v>
      </c>
      <c r="C75" s="11">
        <v>1979</v>
      </c>
      <c r="D75" s="15">
        <f t="shared" si="3"/>
        <v>3.9580000000000002</v>
      </c>
      <c r="F75" s="11" t="s">
        <v>409</v>
      </c>
      <c r="G75" s="11" t="s">
        <v>410</v>
      </c>
      <c r="H75" s="11">
        <v>1242</v>
      </c>
      <c r="I75" s="12">
        <f t="shared" si="4"/>
        <v>2.484</v>
      </c>
      <c r="K75" s="11" t="s">
        <v>610</v>
      </c>
      <c r="L75" s="11" t="s">
        <v>611</v>
      </c>
      <c r="M75" s="11">
        <v>942</v>
      </c>
      <c r="N75" s="15">
        <f t="shared" si="5"/>
        <v>1.8839999999999999</v>
      </c>
    </row>
    <row r="76" spans="1:14" x14ac:dyDescent="0.25">
      <c r="A76" s="11" t="s">
        <v>4</v>
      </c>
      <c r="B76" s="11" t="s">
        <v>151</v>
      </c>
      <c r="C76" s="11">
        <v>118</v>
      </c>
      <c r="D76" s="15">
        <f t="shared" si="3"/>
        <v>0.23599999999999999</v>
      </c>
      <c r="F76" s="11" t="s">
        <v>411</v>
      </c>
      <c r="G76" s="11" t="s">
        <v>412</v>
      </c>
      <c r="H76" s="11">
        <v>1109</v>
      </c>
      <c r="I76" s="12">
        <f t="shared" si="4"/>
        <v>2.218</v>
      </c>
      <c r="K76" s="11" t="s">
        <v>612</v>
      </c>
      <c r="L76" s="11" t="s">
        <v>613</v>
      </c>
      <c r="M76" s="11">
        <v>3687</v>
      </c>
      <c r="N76" s="15">
        <f t="shared" si="5"/>
        <v>7.3739999999999997</v>
      </c>
    </row>
    <row r="77" spans="1:14" x14ac:dyDescent="0.25">
      <c r="A77" s="11" t="s">
        <v>154</v>
      </c>
      <c r="B77" s="11" t="s">
        <v>155</v>
      </c>
      <c r="C77" s="11">
        <v>6091</v>
      </c>
      <c r="D77" s="15">
        <f t="shared" si="3"/>
        <v>12.182</v>
      </c>
      <c r="F77" s="11" t="s">
        <v>413</v>
      </c>
      <c r="G77" s="11" t="s">
        <v>414</v>
      </c>
      <c r="H77" s="11">
        <v>1889</v>
      </c>
      <c r="I77" s="12">
        <f t="shared" si="4"/>
        <v>3.778</v>
      </c>
      <c r="K77" s="11" t="s">
        <v>614</v>
      </c>
      <c r="L77" s="11" t="s">
        <v>615</v>
      </c>
      <c r="M77" s="11">
        <v>2639</v>
      </c>
      <c r="N77" s="15">
        <f t="shared" si="5"/>
        <v>5.2779999999999996</v>
      </c>
    </row>
    <row r="78" spans="1:14" x14ac:dyDescent="0.25">
      <c r="A78" s="11" t="s">
        <v>156</v>
      </c>
      <c r="B78" s="11" t="s">
        <v>157</v>
      </c>
      <c r="C78" s="11">
        <v>1799</v>
      </c>
      <c r="D78" s="15">
        <f t="shared" si="3"/>
        <v>3.5979999999999999</v>
      </c>
      <c r="F78" s="11" t="s">
        <v>415</v>
      </c>
      <c r="G78" s="11" t="s">
        <v>416</v>
      </c>
      <c r="H78" s="11">
        <v>168</v>
      </c>
      <c r="I78" s="12">
        <f t="shared" si="4"/>
        <v>0.33600000000000002</v>
      </c>
      <c r="K78" s="11" t="s">
        <v>616</v>
      </c>
      <c r="L78" s="11" t="s">
        <v>617</v>
      </c>
      <c r="M78" s="11">
        <v>142</v>
      </c>
      <c r="N78" s="15">
        <f t="shared" si="5"/>
        <v>0.28399999999999997</v>
      </c>
    </row>
    <row r="79" spans="1:14" x14ac:dyDescent="0.25">
      <c r="A79" s="11" t="s">
        <v>158</v>
      </c>
      <c r="B79" s="11" t="s">
        <v>159</v>
      </c>
      <c r="C79" s="11">
        <v>1046</v>
      </c>
      <c r="D79" s="15">
        <f t="shared" si="3"/>
        <v>2.0920000000000001</v>
      </c>
      <c r="F79" s="11" t="s">
        <v>417</v>
      </c>
      <c r="G79" s="11" t="s">
        <v>418</v>
      </c>
      <c r="H79" s="11">
        <v>7398</v>
      </c>
      <c r="I79" s="12">
        <f t="shared" si="4"/>
        <v>14.795999999999999</v>
      </c>
      <c r="K79" s="11" t="s">
        <v>618</v>
      </c>
      <c r="L79" s="11" t="s">
        <v>619</v>
      </c>
      <c r="M79" s="11">
        <v>2471</v>
      </c>
      <c r="N79" s="15">
        <f t="shared" si="5"/>
        <v>4.9420000000000002</v>
      </c>
    </row>
    <row r="80" spans="1:14" x14ac:dyDescent="0.25">
      <c r="A80" s="11" t="s">
        <v>160</v>
      </c>
      <c r="B80" s="11" t="s">
        <v>161</v>
      </c>
      <c r="C80" s="11">
        <v>4736</v>
      </c>
      <c r="D80" s="15">
        <f t="shared" si="3"/>
        <v>9.4719999999999995</v>
      </c>
      <c r="F80" s="11" t="s">
        <v>419</v>
      </c>
      <c r="G80" s="11" t="s">
        <v>420</v>
      </c>
      <c r="H80" s="11">
        <v>1997</v>
      </c>
      <c r="I80" s="12">
        <f t="shared" si="4"/>
        <v>3.9940000000000002</v>
      </c>
      <c r="K80" s="11" t="s">
        <v>620</v>
      </c>
      <c r="L80" s="11" t="s">
        <v>621</v>
      </c>
      <c r="M80" s="11">
        <v>1635</v>
      </c>
      <c r="N80" s="15">
        <f t="shared" si="5"/>
        <v>3.27</v>
      </c>
    </row>
    <row r="81" spans="1:14" x14ac:dyDescent="0.25">
      <c r="A81" s="11" t="s">
        <v>162</v>
      </c>
      <c r="B81" s="11" t="s">
        <v>163</v>
      </c>
      <c r="C81" s="11">
        <v>1695</v>
      </c>
      <c r="D81" s="15">
        <f t="shared" si="3"/>
        <v>3.39</v>
      </c>
      <c r="F81" s="11" t="s">
        <v>421</v>
      </c>
      <c r="G81" s="11" t="s">
        <v>422</v>
      </c>
      <c r="H81" s="11">
        <v>897</v>
      </c>
      <c r="I81" s="12">
        <f t="shared" si="4"/>
        <v>1.794</v>
      </c>
      <c r="K81" s="11" t="s">
        <v>622</v>
      </c>
      <c r="L81" s="11" t="s">
        <v>623</v>
      </c>
      <c r="M81" s="11">
        <v>2997</v>
      </c>
      <c r="N81" s="15">
        <f t="shared" si="5"/>
        <v>5.9939999999999998</v>
      </c>
    </row>
    <row r="82" spans="1:14" x14ac:dyDescent="0.25">
      <c r="A82" s="11" t="s">
        <v>164</v>
      </c>
      <c r="B82" s="11" t="s">
        <v>165</v>
      </c>
      <c r="C82" s="11">
        <v>2045</v>
      </c>
      <c r="D82" s="15">
        <f t="shared" si="3"/>
        <v>4.09</v>
      </c>
      <c r="F82" s="11" t="s">
        <v>423</v>
      </c>
      <c r="G82" s="11" t="s">
        <v>424</v>
      </c>
      <c r="H82" s="11">
        <v>592</v>
      </c>
      <c r="I82" s="12">
        <f t="shared" si="4"/>
        <v>1.1839999999999999</v>
      </c>
      <c r="K82" s="11" t="s">
        <v>624</v>
      </c>
      <c r="L82" s="11" t="s">
        <v>625</v>
      </c>
      <c r="M82" s="11">
        <v>3459</v>
      </c>
      <c r="N82" s="15">
        <f t="shared" si="5"/>
        <v>6.9180000000000001</v>
      </c>
    </row>
    <row r="83" spans="1:14" x14ac:dyDescent="0.25">
      <c r="A83" s="11" t="s">
        <v>777</v>
      </c>
      <c r="B83" s="11" t="s">
        <v>469</v>
      </c>
      <c r="C83" s="11">
        <v>12956</v>
      </c>
      <c r="D83" s="15">
        <f t="shared" si="3"/>
        <v>25.911999999999999</v>
      </c>
      <c r="F83" s="11" t="s">
        <v>425</v>
      </c>
      <c r="G83" s="11" t="s">
        <v>426</v>
      </c>
      <c r="H83" s="11">
        <v>849</v>
      </c>
      <c r="I83" s="12">
        <f t="shared" si="4"/>
        <v>1.698</v>
      </c>
      <c r="K83" s="11" t="s">
        <v>626</v>
      </c>
      <c r="L83" s="11" t="s">
        <v>627</v>
      </c>
      <c r="M83" s="11">
        <v>6615</v>
      </c>
      <c r="N83" s="15">
        <f t="shared" si="5"/>
        <v>13.23</v>
      </c>
    </row>
    <row r="84" spans="1:14" x14ac:dyDescent="0.25">
      <c r="A84" s="11" t="s">
        <v>170</v>
      </c>
      <c r="B84" s="11" t="s">
        <v>171</v>
      </c>
      <c r="C84" s="11">
        <v>2659</v>
      </c>
      <c r="D84" s="15">
        <f t="shared" si="3"/>
        <v>5.3179999999999996</v>
      </c>
      <c r="F84" s="11" t="s">
        <v>427</v>
      </c>
      <c r="G84" s="11" t="s">
        <v>428</v>
      </c>
      <c r="H84" s="11">
        <v>0</v>
      </c>
      <c r="I84" s="12">
        <f t="shared" si="4"/>
        <v>0</v>
      </c>
      <c r="K84" s="11" t="s">
        <v>628</v>
      </c>
      <c r="L84" s="11" t="s">
        <v>629</v>
      </c>
      <c r="M84" s="11">
        <v>1236</v>
      </c>
      <c r="N84" s="15">
        <f t="shared" si="5"/>
        <v>2.472</v>
      </c>
    </row>
    <row r="85" spans="1:14" x14ac:dyDescent="0.25">
      <c r="A85" s="11" t="s">
        <v>172</v>
      </c>
      <c r="B85" s="11" t="s">
        <v>173</v>
      </c>
      <c r="C85" s="11">
        <v>1191</v>
      </c>
      <c r="D85" s="15">
        <f t="shared" si="3"/>
        <v>2.3820000000000001</v>
      </c>
      <c r="F85" s="11" t="s">
        <v>429</v>
      </c>
      <c r="G85" s="11" t="s">
        <v>430</v>
      </c>
      <c r="H85" s="11">
        <v>980</v>
      </c>
      <c r="I85" s="12">
        <f t="shared" si="4"/>
        <v>1.96</v>
      </c>
      <c r="K85" s="11" t="s">
        <v>630</v>
      </c>
      <c r="L85" s="11" t="s">
        <v>631</v>
      </c>
      <c r="M85" s="11">
        <v>1068</v>
      </c>
      <c r="N85" s="15">
        <f t="shared" si="5"/>
        <v>2.1360000000000001</v>
      </c>
    </row>
    <row r="86" spans="1:14" x14ac:dyDescent="0.25">
      <c r="A86" s="11" t="s">
        <v>174</v>
      </c>
      <c r="B86" s="11" t="s">
        <v>175</v>
      </c>
      <c r="C86" s="11">
        <v>1216</v>
      </c>
      <c r="D86" s="15">
        <f t="shared" si="3"/>
        <v>2.4319999999999999</v>
      </c>
      <c r="F86" s="11" t="s">
        <v>431</v>
      </c>
      <c r="G86" s="11" t="s">
        <v>432</v>
      </c>
      <c r="H86" s="11">
        <v>3283</v>
      </c>
      <c r="I86" s="12">
        <f t="shared" si="4"/>
        <v>6.5659999999999998</v>
      </c>
      <c r="K86" s="11" t="s">
        <v>632</v>
      </c>
      <c r="L86" s="11" t="s">
        <v>633</v>
      </c>
      <c r="M86" s="11">
        <v>3516</v>
      </c>
      <c r="N86" s="15">
        <f t="shared" si="5"/>
        <v>7.032</v>
      </c>
    </row>
    <row r="87" spans="1:14" x14ac:dyDescent="0.25">
      <c r="A87" s="11" t="s">
        <v>176</v>
      </c>
      <c r="B87" s="11" t="s">
        <v>177</v>
      </c>
      <c r="C87" s="11">
        <v>4106</v>
      </c>
      <c r="D87" s="15">
        <f t="shared" si="3"/>
        <v>8.2119999999999997</v>
      </c>
      <c r="F87" s="11" t="s">
        <v>433</v>
      </c>
      <c r="G87" s="11" t="s">
        <v>434</v>
      </c>
      <c r="H87" s="11">
        <v>3695</v>
      </c>
      <c r="I87" s="12">
        <f t="shared" si="4"/>
        <v>7.39</v>
      </c>
      <c r="K87" s="11" t="s">
        <v>634</v>
      </c>
      <c r="L87" s="11" t="s">
        <v>635</v>
      </c>
      <c r="M87" s="11">
        <v>284</v>
      </c>
      <c r="N87" s="15">
        <f t="shared" si="5"/>
        <v>0.56799999999999995</v>
      </c>
    </row>
    <row r="88" spans="1:14" x14ac:dyDescent="0.25">
      <c r="A88" s="11" t="s">
        <v>118</v>
      </c>
      <c r="B88" s="11" t="s">
        <v>178</v>
      </c>
      <c r="C88" s="11">
        <v>788</v>
      </c>
      <c r="D88" s="15">
        <f t="shared" si="3"/>
        <v>1.5760000000000001</v>
      </c>
      <c r="F88" s="11" t="s">
        <v>435</v>
      </c>
      <c r="G88" s="11" t="s">
        <v>436</v>
      </c>
      <c r="H88" s="11">
        <v>573</v>
      </c>
      <c r="I88" s="12">
        <f t="shared" si="4"/>
        <v>1.1459999999999999</v>
      </c>
      <c r="K88" s="11" t="s">
        <v>636</v>
      </c>
      <c r="L88" s="11" t="s">
        <v>637</v>
      </c>
      <c r="M88" s="11">
        <v>784</v>
      </c>
      <c r="N88" s="15">
        <f t="shared" si="5"/>
        <v>1.5680000000000001</v>
      </c>
    </row>
    <row r="89" spans="1:14" x14ac:dyDescent="0.25">
      <c r="A89" s="11" t="s">
        <v>179</v>
      </c>
      <c r="B89" s="11" t="s">
        <v>180</v>
      </c>
      <c r="C89" s="11">
        <v>0</v>
      </c>
      <c r="D89" s="15">
        <f t="shared" si="3"/>
        <v>0</v>
      </c>
      <c r="F89" s="11" t="s">
        <v>433</v>
      </c>
      <c r="G89" s="11" t="s">
        <v>437</v>
      </c>
      <c r="H89" s="11">
        <v>12900</v>
      </c>
      <c r="I89" s="12">
        <f t="shared" si="4"/>
        <v>25.8</v>
      </c>
      <c r="K89" s="11" t="s">
        <v>638</v>
      </c>
      <c r="L89" s="11" t="s">
        <v>639</v>
      </c>
      <c r="M89" s="11">
        <v>1147</v>
      </c>
      <c r="N89" s="15">
        <f t="shared" si="5"/>
        <v>2.294</v>
      </c>
    </row>
    <row r="90" spans="1:14" x14ac:dyDescent="0.25">
      <c r="A90" s="11" t="s">
        <v>181</v>
      </c>
      <c r="B90" s="11" t="s">
        <v>182</v>
      </c>
      <c r="C90" s="11">
        <v>3246</v>
      </c>
      <c r="D90" s="15">
        <f t="shared" si="3"/>
        <v>6.492</v>
      </c>
      <c r="F90" s="11" t="s">
        <v>438</v>
      </c>
      <c r="G90" s="11" t="s">
        <v>439</v>
      </c>
      <c r="H90" s="11">
        <v>0</v>
      </c>
      <c r="I90" s="12">
        <f t="shared" si="4"/>
        <v>0</v>
      </c>
      <c r="K90" s="11" t="s">
        <v>640</v>
      </c>
      <c r="L90" s="11" t="s">
        <v>641</v>
      </c>
      <c r="M90" s="11">
        <v>12144</v>
      </c>
      <c r="N90" s="15">
        <f t="shared" si="5"/>
        <v>24.288</v>
      </c>
    </row>
    <row r="91" spans="1:14" x14ac:dyDescent="0.25">
      <c r="A91" s="11" t="s">
        <v>183</v>
      </c>
      <c r="B91" s="11" t="s">
        <v>184</v>
      </c>
      <c r="C91" s="11">
        <v>1847</v>
      </c>
      <c r="D91" s="15">
        <f t="shared" si="3"/>
        <v>3.694</v>
      </c>
      <c r="F91" s="11" t="s">
        <v>440</v>
      </c>
      <c r="G91" s="11" t="s">
        <v>441</v>
      </c>
      <c r="H91" s="11">
        <v>2173</v>
      </c>
      <c r="I91" s="12">
        <f t="shared" si="4"/>
        <v>4.3460000000000001</v>
      </c>
      <c r="K91" s="11" t="s">
        <v>642</v>
      </c>
      <c r="L91" s="11" t="s">
        <v>643</v>
      </c>
      <c r="M91" s="11">
        <v>1481</v>
      </c>
      <c r="N91" s="15">
        <f t="shared" si="5"/>
        <v>2.9620000000000002</v>
      </c>
    </row>
    <row r="92" spans="1:14" x14ac:dyDescent="0.25">
      <c r="A92" s="11" t="s">
        <v>185</v>
      </c>
      <c r="B92" s="11" t="s">
        <v>186</v>
      </c>
      <c r="C92" s="11">
        <v>1608</v>
      </c>
      <c r="D92" s="15">
        <f t="shared" si="3"/>
        <v>3.2160000000000002</v>
      </c>
      <c r="F92" s="11" t="s">
        <v>442</v>
      </c>
      <c r="G92" s="11" t="s">
        <v>443</v>
      </c>
      <c r="H92" s="11">
        <v>2083</v>
      </c>
      <c r="I92" s="12">
        <f t="shared" si="4"/>
        <v>4.1660000000000004</v>
      </c>
      <c r="K92" s="11" t="s">
        <v>644</v>
      </c>
      <c r="L92" s="11" t="s">
        <v>645</v>
      </c>
      <c r="M92" s="11">
        <v>707</v>
      </c>
      <c r="N92" s="15">
        <f t="shared" si="5"/>
        <v>1.4139999999999999</v>
      </c>
    </row>
    <row r="93" spans="1:14" x14ac:dyDescent="0.25">
      <c r="A93" s="11" t="s">
        <v>187</v>
      </c>
      <c r="B93" s="11" t="s">
        <v>188</v>
      </c>
      <c r="C93" s="11">
        <v>589</v>
      </c>
      <c r="D93" s="15">
        <f t="shared" si="3"/>
        <v>1.1779999999999999</v>
      </c>
      <c r="F93" s="11" t="s">
        <v>444</v>
      </c>
      <c r="G93" s="11" t="s">
        <v>445</v>
      </c>
      <c r="H93" s="11">
        <v>789</v>
      </c>
      <c r="I93" s="12">
        <f t="shared" si="4"/>
        <v>1.5780000000000001</v>
      </c>
      <c r="K93" s="11" t="s">
        <v>646</v>
      </c>
      <c r="L93" s="11" t="s">
        <v>647</v>
      </c>
      <c r="M93" s="11">
        <v>20060</v>
      </c>
      <c r="N93" s="15">
        <f t="shared" si="5"/>
        <v>40.119999999999997</v>
      </c>
    </row>
    <row r="94" spans="1:14" x14ac:dyDescent="0.25">
      <c r="A94" s="11" t="s">
        <v>189</v>
      </c>
      <c r="B94" s="11" t="s">
        <v>190</v>
      </c>
      <c r="C94" s="11">
        <v>2087</v>
      </c>
      <c r="D94" s="15">
        <f t="shared" si="3"/>
        <v>4.1740000000000004</v>
      </c>
      <c r="F94" s="11" t="s">
        <v>446</v>
      </c>
      <c r="G94" s="11" t="s">
        <v>447</v>
      </c>
      <c r="H94" s="11">
        <v>2543</v>
      </c>
      <c r="I94" s="12">
        <f t="shared" si="4"/>
        <v>5.0860000000000003</v>
      </c>
      <c r="K94" s="11" t="s">
        <v>648</v>
      </c>
      <c r="L94" s="11" t="s">
        <v>649</v>
      </c>
      <c r="M94" s="11">
        <v>5048</v>
      </c>
      <c r="N94" s="15">
        <f t="shared" si="5"/>
        <v>10.096</v>
      </c>
    </row>
    <row r="95" spans="1:14" x14ac:dyDescent="0.25">
      <c r="A95" s="11" t="s">
        <v>191</v>
      </c>
      <c r="B95" s="11" t="s">
        <v>192</v>
      </c>
      <c r="C95" s="11">
        <v>3603</v>
      </c>
      <c r="D95" s="15">
        <f t="shared" si="3"/>
        <v>7.2060000000000004</v>
      </c>
      <c r="F95" s="11" t="s">
        <v>448</v>
      </c>
      <c r="G95" s="11" t="s">
        <v>449</v>
      </c>
      <c r="H95" s="11">
        <v>950</v>
      </c>
      <c r="I95" s="12">
        <f t="shared" si="4"/>
        <v>1.9</v>
      </c>
      <c r="K95" s="11" t="s">
        <v>650</v>
      </c>
      <c r="L95" s="11" t="s">
        <v>651</v>
      </c>
      <c r="M95" s="11">
        <v>1387</v>
      </c>
      <c r="N95" s="15">
        <f t="shared" si="5"/>
        <v>2.774</v>
      </c>
    </row>
    <row r="96" spans="1:14" x14ac:dyDescent="0.25">
      <c r="A96" s="11" t="s">
        <v>193</v>
      </c>
      <c r="B96" s="11" t="s">
        <v>194</v>
      </c>
      <c r="C96" s="11">
        <v>908</v>
      </c>
      <c r="D96" s="15">
        <f t="shared" si="3"/>
        <v>1.8160000000000001</v>
      </c>
      <c r="F96" s="11" t="s">
        <v>450</v>
      </c>
      <c r="G96" s="11" t="s">
        <v>451</v>
      </c>
      <c r="H96" s="11">
        <v>4279</v>
      </c>
      <c r="I96" s="12">
        <f t="shared" si="4"/>
        <v>8.5579999999999998</v>
      </c>
      <c r="K96" s="11" t="s">
        <v>652</v>
      </c>
      <c r="L96" s="11" t="s">
        <v>653</v>
      </c>
      <c r="M96" s="11">
        <v>1280</v>
      </c>
      <c r="N96" s="15">
        <f t="shared" si="5"/>
        <v>2.56</v>
      </c>
    </row>
    <row r="97" spans="1:14" x14ac:dyDescent="0.25">
      <c r="A97" s="11" t="s">
        <v>195</v>
      </c>
      <c r="B97" s="11" t="s">
        <v>196</v>
      </c>
      <c r="C97" s="11">
        <v>4014</v>
      </c>
      <c r="D97" s="15">
        <f t="shared" si="3"/>
        <v>8.0280000000000005</v>
      </c>
      <c r="F97" s="11" t="s">
        <v>285</v>
      </c>
      <c r="G97" s="11" t="s">
        <v>452</v>
      </c>
      <c r="H97" s="11">
        <v>6766</v>
      </c>
      <c r="I97" s="12">
        <f t="shared" si="4"/>
        <v>13.532</v>
      </c>
      <c r="K97" s="11" t="s">
        <v>654</v>
      </c>
      <c r="L97" s="11" t="s">
        <v>655</v>
      </c>
      <c r="M97" s="11">
        <v>270</v>
      </c>
      <c r="N97" s="15">
        <f t="shared" si="5"/>
        <v>0.54</v>
      </c>
    </row>
    <row r="98" spans="1:14" x14ac:dyDescent="0.25">
      <c r="A98" s="11" t="s">
        <v>197</v>
      </c>
      <c r="B98" s="11" t="s">
        <v>198</v>
      </c>
      <c r="C98" s="11">
        <v>2517</v>
      </c>
      <c r="D98" s="15">
        <f t="shared" si="3"/>
        <v>5.0339999999999998</v>
      </c>
      <c r="F98" s="11" t="s">
        <v>453</v>
      </c>
      <c r="G98" s="11" t="s">
        <v>454</v>
      </c>
      <c r="H98" s="11">
        <v>1338</v>
      </c>
      <c r="I98" s="12">
        <f t="shared" si="4"/>
        <v>2.6760000000000002</v>
      </c>
      <c r="K98" s="11" t="s">
        <v>656</v>
      </c>
      <c r="L98" s="11" t="s">
        <v>657</v>
      </c>
      <c r="M98" s="11">
        <v>195</v>
      </c>
      <c r="N98" s="15">
        <f t="shared" si="5"/>
        <v>0.39</v>
      </c>
    </row>
    <row r="99" spans="1:14" x14ac:dyDescent="0.25">
      <c r="A99" s="11" t="s">
        <v>199</v>
      </c>
      <c r="B99" s="11" t="s">
        <v>200</v>
      </c>
      <c r="C99" s="11">
        <v>6396</v>
      </c>
      <c r="D99" s="15">
        <f t="shared" si="3"/>
        <v>12.792</v>
      </c>
      <c r="F99" s="11" t="s">
        <v>329</v>
      </c>
      <c r="G99" s="11" t="s">
        <v>455</v>
      </c>
      <c r="H99" s="11">
        <v>0</v>
      </c>
      <c r="I99" s="12">
        <f t="shared" si="4"/>
        <v>0</v>
      </c>
      <c r="K99" s="11" t="s">
        <v>658</v>
      </c>
      <c r="L99" s="11" t="s">
        <v>659</v>
      </c>
      <c r="M99" s="11">
        <v>194</v>
      </c>
      <c r="N99" s="15">
        <f t="shared" si="5"/>
        <v>0.38800000000000001</v>
      </c>
    </row>
    <row r="100" spans="1:14" x14ac:dyDescent="0.25">
      <c r="A100" s="11" t="s">
        <v>201</v>
      </c>
      <c r="B100" s="11" t="s">
        <v>202</v>
      </c>
      <c r="C100" s="11">
        <v>1944</v>
      </c>
      <c r="D100" s="15">
        <f t="shared" si="3"/>
        <v>3.8879999999999999</v>
      </c>
      <c r="F100" s="11" t="s">
        <v>345</v>
      </c>
      <c r="G100" s="11" t="s">
        <v>456</v>
      </c>
      <c r="H100" s="11">
        <v>207</v>
      </c>
      <c r="I100" s="12">
        <f t="shared" si="4"/>
        <v>0.41399999999999998</v>
      </c>
      <c r="K100" s="11" t="s">
        <v>660</v>
      </c>
      <c r="L100" s="11" t="s">
        <v>661</v>
      </c>
      <c r="M100" s="11">
        <v>281</v>
      </c>
      <c r="N100" s="15">
        <f t="shared" si="5"/>
        <v>0.56200000000000006</v>
      </c>
    </row>
    <row r="101" spans="1:14" x14ac:dyDescent="0.25">
      <c r="A101" s="11" t="s">
        <v>203</v>
      </c>
      <c r="B101" s="11" t="s">
        <v>204</v>
      </c>
      <c r="C101" s="11">
        <v>783</v>
      </c>
      <c r="D101" s="15">
        <f t="shared" si="3"/>
        <v>1.5660000000000001</v>
      </c>
      <c r="F101" s="11" t="s">
        <v>457</v>
      </c>
      <c r="G101" s="11" t="s">
        <v>458</v>
      </c>
      <c r="H101" s="11">
        <v>5031</v>
      </c>
      <c r="I101" s="12">
        <f t="shared" si="4"/>
        <v>10.061999999999999</v>
      </c>
      <c r="K101" s="11" t="s">
        <v>662</v>
      </c>
      <c r="L101" s="11" t="s">
        <v>663</v>
      </c>
      <c r="M101" s="11">
        <v>0</v>
      </c>
      <c r="N101" s="15">
        <f t="shared" si="5"/>
        <v>0</v>
      </c>
    </row>
    <row r="102" spans="1:14" x14ac:dyDescent="0.25">
      <c r="A102" s="11" t="s">
        <v>205</v>
      </c>
      <c r="B102" s="11" t="s">
        <v>206</v>
      </c>
      <c r="C102" s="11">
        <v>1197</v>
      </c>
      <c r="D102" s="15">
        <f t="shared" si="3"/>
        <v>2.3940000000000001</v>
      </c>
      <c r="F102" s="11" t="s">
        <v>459</v>
      </c>
      <c r="G102" s="11" t="s">
        <v>460</v>
      </c>
      <c r="H102" s="11">
        <v>2659</v>
      </c>
      <c r="I102" s="12">
        <f t="shared" si="4"/>
        <v>5.3179999999999996</v>
      </c>
      <c r="K102" s="11" t="s">
        <v>665</v>
      </c>
      <c r="L102" s="11" t="s">
        <v>666</v>
      </c>
      <c r="M102" s="11">
        <v>1281</v>
      </c>
      <c r="N102" s="15">
        <f t="shared" si="5"/>
        <v>2.5619999999999998</v>
      </c>
    </row>
    <row r="103" spans="1:14" x14ac:dyDescent="0.25">
      <c r="A103" s="11" t="s">
        <v>207</v>
      </c>
      <c r="B103" s="11" t="s">
        <v>208</v>
      </c>
      <c r="C103" s="11">
        <v>793</v>
      </c>
      <c r="D103" s="15">
        <f t="shared" si="3"/>
        <v>1.5860000000000001</v>
      </c>
      <c r="F103" s="11" t="s">
        <v>461</v>
      </c>
      <c r="G103" s="11" t="s">
        <v>462</v>
      </c>
      <c r="H103" s="11">
        <v>615</v>
      </c>
      <c r="I103" s="12">
        <f t="shared" si="4"/>
        <v>1.23</v>
      </c>
      <c r="K103" s="11" t="s">
        <v>667</v>
      </c>
      <c r="L103" s="11" t="s">
        <v>668</v>
      </c>
      <c r="M103" s="11">
        <v>7729</v>
      </c>
      <c r="N103" s="15">
        <f t="shared" si="5"/>
        <v>15.458</v>
      </c>
    </row>
    <row r="104" spans="1:14" x14ac:dyDescent="0.25">
      <c r="A104" s="11" t="s">
        <v>209</v>
      </c>
      <c r="B104" s="11" t="s">
        <v>210</v>
      </c>
      <c r="C104" s="11">
        <v>1296</v>
      </c>
      <c r="D104" s="15">
        <f t="shared" si="3"/>
        <v>2.5920000000000001</v>
      </c>
      <c r="F104" s="11" t="s">
        <v>784</v>
      </c>
      <c r="G104" s="17" t="s">
        <v>268</v>
      </c>
      <c r="H104" s="11">
        <v>0</v>
      </c>
      <c r="I104" s="12">
        <f t="shared" si="4"/>
        <v>0</v>
      </c>
      <c r="K104" s="11" t="s">
        <v>669</v>
      </c>
      <c r="L104" s="11" t="s">
        <v>670</v>
      </c>
      <c r="M104" s="11">
        <v>3622</v>
      </c>
      <c r="N104" s="15">
        <f t="shared" si="5"/>
        <v>7.2439999999999998</v>
      </c>
    </row>
    <row r="105" spans="1:14" x14ac:dyDescent="0.25">
      <c r="A105" s="11" t="s">
        <v>211</v>
      </c>
      <c r="B105" s="11" t="s">
        <v>212</v>
      </c>
      <c r="C105" s="11">
        <v>4106</v>
      </c>
      <c r="D105" s="15">
        <f t="shared" si="3"/>
        <v>8.2119999999999997</v>
      </c>
      <c r="F105" s="11" t="s">
        <v>785</v>
      </c>
      <c r="G105" s="16" t="s">
        <v>786</v>
      </c>
      <c r="H105" s="11">
        <v>0</v>
      </c>
      <c r="I105" s="12">
        <f t="shared" si="4"/>
        <v>0</v>
      </c>
      <c r="K105" s="11" t="s">
        <v>671</v>
      </c>
      <c r="L105" s="11" t="s">
        <v>672</v>
      </c>
      <c r="M105" s="11">
        <v>1982</v>
      </c>
      <c r="N105" s="15">
        <f t="shared" si="5"/>
        <v>3.964</v>
      </c>
    </row>
    <row r="106" spans="1:14" x14ac:dyDescent="0.25">
      <c r="A106" s="11" t="s">
        <v>213</v>
      </c>
      <c r="B106" s="11" t="s">
        <v>214</v>
      </c>
      <c r="C106" s="11">
        <v>4391</v>
      </c>
      <c r="D106" s="15">
        <f t="shared" si="3"/>
        <v>8.782</v>
      </c>
      <c r="F106" s="16" t="s">
        <v>1</v>
      </c>
      <c r="G106" s="11" t="s">
        <v>787</v>
      </c>
      <c r="H106" s="11">
        <v>0</v>
      </c>
      <c r="I106" s="12">
        <f t="shared" si="4"/>
        <v>0</v>
      </c>
      <c r="K106" s="11" t="s">
        <v>673</v>
      </c>
      <c r="L106" s="11" t="s">
        <v>674</v>
      </c>
      <c r="M106" s="11">
        <v>3936</v>
      </c>
      <c r="N106" s="15">
        <f t="shared" si="5"/>
        <v>7.8719999999999999</v>
      </c>
    </row>
    <row r="107" spans="1:14" x14ac:dyDescent="0.25">
      <c r="A107" s="11" t="s">
        <v>215</v>
      </c>
      <c r="B107" s="11" t="s">
        <v>216</v>
      </c>
      <c r="C107" s="11">
        <v>0</v>
      </c>
      <c r="D107" s="15">
        <f t="shared" si="3"/>
        <v>0</v>
      </c>
      <c r="K107" s="11" t="s">
        <v>675</v>
      </c>
      <c r="L107" s="11" t="s">
        <v>676</v>
      </c>
      <c r="M107" s="11">
        <v>1032</v>
      </c>
      <c r="N107" s="15">
        <f t="shared" si="5"/>
        <v>2.0640000000000001</v>
      </c>
    </row>
    <row r="108" spans="1:14" x14ac:dyDescent="0.25">
      <c r="A108" s="11" t="s">
        <v>217</v>
      </c>
      <c r="B108" s="11" t="s">
        <v>218</v>
      </c>
      <c r="C108" s="11">
        <v>733</v>
      </c>
      <c r="D108" s="15">
        <f t="shared" si="3"/>
        <v>1.466</v>
      </c>
      <c r="K108" s="11" t="s">
        <v>677</v>
      </c>
      <c r="L108" s="11" t="s">
        <v>678</v>
      </c>
      <c r="M108" s="11">
        <v>0</v>
      </c>
      <c r="N108" s="15">
        <f t="shared" si="5"/>
        <v>0</v>
      </c>
    </row>
    <row r="109" spans="1:14" x14ac:dyDescent="0.25">
      <c r="A109" s="11" t="s">
        <v>219</v>
      </c>
      <c r="B109" s="11" t="s">
        <v>220</v>
      </c>
      <c r="C109" s="11">
        <v>0</v>
      </c>
      <c r="D109" s="15">
        <f t="shared" si="3"/>
        <v>0</v>
      </c>
      <c r="K109" s="11" t="s">
        <v>679</v>
      </c>
      <c r="L109" s="11" t="s">
        <v>680</v>
      </c>
      <c r="M109" s="11">
        <v>4191</v>
      </c>
      <c r="N109" s="15">
        <f t="shared" si="5"/>
        <v>8.3819999999999997</v>
      </c>
    </row>
    <row r="110" spans="1:14" x14ac:dyDescent="0.25">
      <c r="A110" s="11" t="s">
        <v>221</v>
      </c>
      <c r="B110" s="11" t="s">
        <v>222</v>
      </c>
      <c r="C110" s="11">
        <v>137</v>
      </c>
      <c r="D110" s="15">
        <f t="shared" si="3"/>
        <v>0.27400000000000002</v>
      </c>
      <c r="K110" s="11" t="s">
        <v>681</v>
      </c>
      <c r="L110" s="11" t="s">
        <v>682</v>
      </c>
      <c r="M110" s="11">
        <v>0</v>
      </c>
      <c r="N110" s="15">
        <f t="shared" si="5"/>
        <v>0</v>
      </c>
    </row>
    <row r="111" spans="1:14" x14ac:dyDescent="0.25">
      <c r="A111" s="11" t="s">
        <v>223</v>
      </c>
      <c r="B111" s="11" t="s">
        <v>224</v>
      </c>
      <c r="C111" s="11">
        <v>377</v>
      </c>
      <c r="D111" s="15">
        <f t="shared" si="3"/>
        <v>0.754</v>
      </c>
      <c r="K111" s="11" t="s">
        <v>773</v>
      </c>
      <c r="L111" s="11" t="s">
        <v>774</v>
      </c>
      <c r="M111" s="11">
        <v>0</v>
      </c>
      <c r="N111" s="15">
        <f t="shared" si="5"/>
        <v>0</v>
      </c>
    </row>
    <row r="112" spans="1:14" x14ac:dyDescent="0.25">
      <c r="A112" s="11" t="s">
        <v>225</v>
      </c>
      <c r="B112" s="11" t="s">
        <v>226</v>
      </c>
      <c r="C112" s="11">
        <v>335</v>
      </c>
      <c r="D112" s="15">
        <f t="shared" si="3"/>
        <v>0.67</v>
      </c>
      <c r="K112" s="11" t="s">
        <v>775</v>
      </c>
      <c r="L112" s="11" t="s">
        <v>169</v>
      </c>
      <c r="M112" s="11">
        <v>0</v>
      </c>
      <c r="N112" s="15">
        <f t="shared" si="5"/>
        <v>0</v>
      </c>
    </row>
    <row r="113" spans="1:14" x14ac:dyDescent="0.25">
      <c r="A113" s="11" t="s">
        <v>227</v>
      </c>
      <c r="B113" s="11" t="s">
        <v>228</v>
      </c>
      <c r="C113" s="11">
        <v>76</v>
      </c>
      <c r="D113" s="15">
        <f t="shared" si="3"/>
        <v>0.152</v>
      </c>
      <c r="K113" s="11" t="s">
        <v>518</v>
      </c>
      <c r="L113" s="11" t="s">
        <v>683</v>
      </c>
      <c r="M113" s="11">
        <v>3579</v>
      </c>
      <c r="N113" s="15">
        <f t="shared" si="5"/>
        <v>7.1580000000000004</v>
      </c>
    </row>
    <row r="114" spans="1:14" x14ac:dyDescent="0.25">
      <c r="A114" s="11" t="s">
        <v>229</v>
      </c>
      <c r="B114" s="11" t="s">
        <v>230</v>
      </c>
      <c r="C114" s="11">
        <v>137</v>
      </c>
      <c r="D114" s="15">
        <f t="shared" si="3"/>
        <v>0.27400000000000002</v>
      </c>
      <c r="K114" s="11" t="s">
        <v>514</v>
      </c>
      <c r="L114" s="11" t="s">
        <v>684</v>
      </c>
      <c r="M114" s="11">
        <v>1462</v>
      </c>
      <c r="N114" s="15">
        <f t="shared" si="5"/>
        <v>2.9239999999999999</v>
      </c>
    </row>
    <row r="115" spans="1:14" x14ac:dyDescent="0.25">
      <c r="A115" s="11" t="s">
        <v>231</v>
      </c>
      <c r="B115" s="11" t="s">
        <v>232</v>
      </c>
      <c r="C115" s="11">
        <v>97</v>
      </c>
      <c r="D115" s="15">
        <f t="shared" si="3"/>
        <v>0.19400000000000001</v>
      </c>
      <c r="K115" s="11" t="s">
        <v>685</v>
      </c>
      <c r="L115" s="11" t="s">
        <v>686</v>
      </c>
      <c r="M115" s="11">
        <v>14286</v>
      </c>
      <c r="N115" s="15">
        <f t="shared" si="5"/>
        <v>28.571999999999999</v>
      </c>
    </row>
    <row r="116" spans="1:14" x14ac:dyDescent="0.25">
      <c r="A116" s="11" t="s">
        <v>233</v>
      </c>
      <c r="B116" s="11" t="s">
        <v>234</v>
      </c>
      <c r="C116" s="11">
        <v>98</v>
      </c>
      <c r="D116" s="15">
        <f t="shared" si="3"/>
        <v>0.19600000000000001</v>
      </c>
      <c r="K116" s="11" t="s">
        <v>687</v>
      </c>
      <c r="L116" s="11" t="s">
        <v>688</v>
      </c>
      <c r="M116" s="11">
        <v>1610</v>
      </c>
      <c r="N116" s="15">
        <f t="shared" si="5"/>
        <v>3.22</v>
      </c>
    </row>
    <row r="117" spans="1:14" x14ac:dyDescent="0.25">
      <c r="A117" s="11" t="s">
        <v>235</v>
      </c>
      <c r="B117" s="11" t="s">
        <v>236</v>
      </c>
      <c r="C117" s="11">
        <v>61</v>
      </c>
      <c r="D117" s="15">
        <f t="shared" si="3"/>
        <v>0.122</v>
      </c>
      <c r="K117" s="11" t="s">
        <v>689</v>
      </c>
      <c r="L117" s="11" t="s">
        <v>690</v>
      </c>
      <c r="M117" s="11">
        <v>4440</v>
      </c>
      <c r="N117" s="15">
        <f t="shared" si="5"/>
        <v>8.8800000000000008</v>
      </c>
    </row>
    <row r="118" spans="1:14" x14ac:dyDescent="0.25">
      <c r="A118" s="11" t="s">
        <v>237</v>
      </c>
      <c r="B118" s="11" t="s">
        <v>238</v>
      </c>
      <c r="C118" s="11">
        <v>501</v>
      </c>
      <c r="D118" s="15">
        <f t="shared" si="3"/>
        <v>1.002</v>
      </c>
      <c r="K118" s="11" t="s">
        <v>508</v>
      </c>
      <c r="L118" s="11" t="s">
        <v>691</v>
      </c>
      <c r="M118" s="11">
        <v>12224</v>
      </c>
      <c r="N118" s="15">
        <f t="shared" si="5"/>
        <v>24.448</v>
      </c>
    </row>
    <row r="119" spans="1:14" x14ac:dyDescent="0.25">
      <c r="A119" s="11" t="s">
        <v>239</v>
      </c>
      <c r="B119" s="11" t="s">
        <v>240</v>
      </c>
      <c r="C119" s="11">
        <v>70</v>
      </c>
      <c r="D119" s="15">
        <f t="shared" si="3"/>
        <v>0.14000000000000001</v>
      </c>
      <c r="K119" s="11" t="s">
        <v>692</v>
      </c>
      <c r="L119" s="11" t="s">
        <v>693</v>
      </c>
      <c r="M119" s="11">
        <v>10730</v>
      </c>
      <c r="N119" s="15">
        <f t="shared" si="5"/>
        <v>21.46</v>
      </c>
    </row>
    <row r="120" spans="1:14" x14ac:dyDescent="0.25">
      <c r="A120" s="11" t="s">
        <v>241</v>
      </c>
      <c r="B120" s="11" t="s">
        <v>242</v>
      </c>
      <c r="C120" s="11">
        <v>2070</v>
      </c>
      <c r="D120" s="15">
        <f t="shared" si="3"/>
        <v>4.1399999999999997</v>
      </c>
      <c r="K120" s="11" t="s">
        <v>694</v>
      </c>
      <c r="L120" s="11" t="s">
        <v>695</v>
      </c>
      <c r="M120" s="11">
        <v>9033</v>
      </c>
      <c r="N120" s="15">
        <f t="shared" si="5"/>
        <v>18.065999999999999</v>
      </c>
    </row>
    <row r="121" spans="1:14" x14ac:dyDescent="0.25">
      <c r="A121" s="11" t="s">
        <v>243</v>
      </c>
      <c r="B121" s="11" t="s">
        <v>244</v>
      </c>
      <c r="C121" s="11">
        <v>1004</v>
      </c>
      <c r="D121" s="15">
        <f t="shared" si="3"/>
        <v>2.008</v>
      </c>
      <c r="K121" s="11" t="s">
        <v>696</v>
      </c>
      <c r="L121" s="11" t="s">
        <v>697</v>
      </c>
      <c r="M121" s="11">
        <v>7138</v>
      </c>
      <c r="N121" s="15">
        <f t="shared" si="5"/>
        <v>14.276</v>
      </c>
    </row>
    <row r="122" spans="1:14" x14ac:dyDescent="0.25">
      <c r="A122" s="11" t="s">
        <v>245</v>
      </c>
      <c r="B122" s="11" t="s">
        <v>246</v>
      </c>
      <c r="C122" s="11">
        <v>282</v>
      </c>
      <c r="D122" s="15">
        <f t="shared" si="3"/>
        <v>0.56399999999999995</v>
      </c>
      <c r="K122" s="11" t="s">
        <v>698</v>
      </c>
      <c r="L122" s="11" t="s">
        <v>699</v>
      </c>
      <c r="M122" s="11">
        <v>4003</v>
      </c>
      <c r="N122" s="15">
        <f t="shared" si="5"/>
        <v>8.0060000000000002</v>
      </c>
    </row>
    <row r="123" spans="1:14" x14ac:dyDescent="0.25">
      <c r="A123" s="11" t="s">
        <v>247</v>
      </c>
      <c r="B123" s="11" t="s">
        <v>248</v>
      </c>
      <c r="C123" s="11">
        <v>676</v>
      </c>
      <c r="D123" s="15">
        <f t="shared" si="3"/>
        <v>1.3520000000000001</v>
      </c>
      <c r="K123" s="11" t="s">
        <v>700</v>
      </c>
      <c r="L123" s="11" t="s">
        <v>701</v>
      </c>
      <c r="M123" s="11">
        <v>5368</v>
      </c>
      <c r="N123" s="15">
        <f t="shared" si="5"/>
        <v>10.736000000000001</v>
      </c>
    </row>
    <row r="124" spans="1:14" x14ac:dyDescent="0.25">
      <c r="A124" s="11" t="s">
        <v>249</v>
      </c>
      <c r="B124" s="11" t="s">
        <v>250</v>
      </c>
      <c r="C124" s="11">
        <v>1085</v>
      </c>
      <c r="D124" s="15">
        <f t="shared" si="3"/>
        <v>2.17</v>
      </c>
      <c r="K124" s="11" t="s">
        <v>522</v>
      </c>
      <c r="L124" s="11" t="s">
        <v>702</v>
      </c>
      <c r="M124" s="11">
        <v>23343</v>
      </c>
      <c r="N124" s="15">
        <f t="shared" si="5"/>
        <v>46.686</v>
      </c>
    </row>
    <row r="125" spans="1:14" x14ac:dyDescent="0.25">
      <c r="A125" s="11" t="s">
        <v>251</v>
      </c>
      <c r="B125" s="11" t="s">
        <v>252</v>
      </c>
      <c r="C125" s="11">
        <v>5967</v>
      </c>
      <c r="D125" s="15">
        <f t="shared" si="3"/>
        <v>11.933999999999999</v>
      </c>
      <c r="K125" s="11" t="s">
        <v>703</v>
      </c>
      <c r="L125" s="11" t="s">
        <v>704</v>
      </c>
      <c r="M125" s="11">
        <v>13198</v>
      </c>
      <c r="N125" s="15">
        <f t="shared" si="5"/>
        <v>26.396000000000001</v>
      </c>
    </row>
    <row r="126" spans="1:14" x14ac:dyDescent="0.25">
      <c r="A126" s="11" t="s">
        <v>253</v>
      </c>
      <c r="B126" s="11" t="s">
        <v>254</v>
      </c>
      <c r="C126" s="11">
        <v>0</v>
      </c>
      <c r="D126" s="15">
        <f t="shared" si="3"/>
        <v>0</v>
      </c>
      <c r="K126" s="11" t="s">
        <v>478</v>
      </c>
      <c r="L126" s="11" t="s">
        <v>705</v>
      </c>
      <c r="M126" s="11">
        <v>23141</v>
      </c>
      <c r="N126" s="15">
        <f t="shared" si="5"/>
        <v>46.281999999999996</v>
      </c>
    </row>
    <row r="127" spans="1:14" x14ac:dyDescent="0.25">
      <c r="A127" s="11" t="s">
        <v>255</v>
      </c>
      <c r="B127" s="11" t="s">
        <v>256</v>
      </c>
      <c r="C127" s="11">
        <v>1497</v>
      </c>
      <c r="D127" s="15">
        <f t="shared" si="3"/>
        <v>2.9940000000000002</v>
      </c>
      <c r="K127" s="11" t="s">
        <v>506</v>
      </c>
      <c r="L127" s="11" t="s">
        <v>706</v>
      </c>
      <c r="M127" s="11">
        <v>22347</v>
      </c>
      <c r="N127" s="15">
        <f t="shared" si="5"/>
        <v>44.694000000000003</v>
      </c>
    </row>
    <row r="128" spans="1:14" x14ac:dyDescent="0.25">
      <c r="A128" s="11" t="s">
        <v>257</v>
      </c>
      <c r="B128" s="11" t="s">
        <v>258</v>
      </c>
      <c r="C128" s="11">
        <v>1362</v>
      </c>
      <c r="D128" s="15">
        <f t="shared" si="3"/>
        <v>2.7240000000000002</v>
      </c>
      <c r="K128" s="11" t="s">
        <v>707</v>
      </c>
      <c r="L128" s="11" t="s">
        <v>708</v>
      </c>
      <c r="M128" s="11">
        <v>14422</v>
      </c>
      <c r="N128" s="15">
        <f t="shared" si="5"/>
        <v>28.844000000000001</v>
      </c>
    </row>
    <row r="129" spans="1:14" x14ac:dyDescent="0.25">
      <c r="A129" s="11" t="s">
        <v>259</v>
      </c>
      <c r="B129" s="11" t="s">
        <v>260</v>
      </c>
      <c r="C129" s="11">
        <v>1707</v>
      </c>
      <c r="D129" s="15">
        <f t="shared" si="3"/>
        <v>3.4140000000000001</v>
      </c>
      <c r="K129" s="11" t="s">
        <v>709</v>
      </c>
      <c r="L129" s="11" t="s">
        <v>710</v>
      </c>
      <c r="M129" s="11">
        <v>14964</v>
      </c>
      <c r="N129" s="15">
        <f t="shared" si="5"/>
        <v>29.928000000000001</v>
      </c>
    </row>
    <row r="130" spans="1:14" x14ac:dyDescent="0.25">
      <c r="A130" s="11" t="s">
        <v>152</v>
      </c>
      <c r="B130" s="11" t="s">
        <v>153</v>
      </c>
      <c r="C130" s="11">
        <v>0</v>
      </c>
      <c r="D130" s="15">
        <f t="shared" si="3"/>
        <v>0</v>
      </c>
      <c r="K130" s="11" t="s">
        <v>711</v>
      </c>
      <c r="L130" s="11" t="s">
        <v>712</v>
      </c>
      <c r="M130" s="11">
        <v>14291</v>
      </c>
      <c r="N130" s="15">
        <f t="shared" si="5"/>
        <v>28.582000000000001</v>
      </c>
    </row>
    <row r="131" spans="1:14" x14ac:dyDescent="0.25">
      <c r="K131" s="11" t="s">
        <v>713</v>
      </c>
      <c r="L131" s="11" t="s">
        <v>714</v>
      </c>
      <c r="M131" s="11">
        <v>24887</v>
      </c>
      <c r="N131" s="15">
        <f t="shared" si="5"/>
        <v>49.774000000000001</v>
      </c>
    </row>
    <row r="132" spans="1:14" x14ac:dyDescent="0.25">
      <c r="K132" s="11" t="s">
        <v>472</v>
      </c>
      <c r="L132" s="11" t="s">
        <v>715</v>
      </c>
      <c r="M132" s="11">
        <v>11572</v>
      </c>
      <c r="N132" s="15">
        <f t="shared" ref="N132:N166" si="6">M132/500</f>
        <v>23.143999999999998</v>
      </c>
    </row>
    <row r="133" spans="1:14" x14ac:dyDescent="0.25">
      <c r="K133" s="11" t="s">
        <v>716</v>
      </c>
      <c r="L133" s="11" t="s">
        <v>717</v>
      </c>
      <c r="M133" s="11">
        <v>3721</v>
      </c>
      <c r="N133" s="15">
        <f t="shared" si="6"/>
        <v>7.4420000000000002</v>
      </c>
    </row>
    <row r="134" spans="1:14" x14ac:dyDescent="0.25">
      <c r="K134" s="11" t="s">
        <v>718</v>
      </c>
      <c r="L134" s="11" t="s">
        <v>719</v>
      </c>
      <c r="M134" s="11">
        <v>3391</v>
      </c>
      <c r="N134" s="15">
        <f t="shared" si="6"/>
        <v>6.782</v>
      </c>
    </row>
    <row r="135" spans="1:14" x14ac:dyDescent="0.25">
      <c r="K135" s="11" t="s">
        <v>720</v>
      </c>
      <c r="L135" s="11" t="s">
        <v>721</v>
      </c>
      <c r="M135" s="11">
        <v>2461</v>
      </c>
      <c r="N135" s="15">
        <f t="shared" si="6"/>
        <v>4.9219999999999997</v>
      </c>
    </row>
    <row r="136" spans="1:14" x14ac:dyDescent="0.25">
      <c r="K136" s="11" t="s">
        <v>486</v>
      </c>
      <c r="L136" s="11" t="s">
        <v>722</v>
      </c>
      <c r="M136" s="11">
        <v>15966</v>
      </c>
      <c r="N136" s="15">
        <f t="shared" si="6"/>
        <v>31.931999999999999</v>
      </c>
    </row>
    <row r="137" spans="1:14" x14ac:dyDescent="0.25">
      <c r="K137" s="11" t="s">
        <v>723</v>
      </c>
      <c r="L137" s="11" t="s">
        <v>724</v>
      </c>
      <c r="M137" s="11">
        <v>31799</v>
      </c>
      <c r="N137" s="15">
        <f t="shared" si="6"/>
        <v>63.597999999999999</v>
      </c>
    </row>
    <row r="138" spans="1:14" x14ac:dyDescent="0.25">
      <c r="K138" s="11" t="s">
        <v>725</v>
      </c>
      <c r="L138" s="11" t="s">
        <v>726</v>
      </c>
      <c r="M138" s="11">
        <v>9630</v>
      </c>
      <c r="N138" s="15">
        <f t="shared" si="6"/>
        <v>19.260000000000002</v>
      </c>
    </row>
    <row r="139" spans="1:14" x14ac:dyDescent="0.25">
      <c r="K139" s="11" t="s">
        <v>727</v>
      </c>
      <c r="L139" s="11" t="s">
        <v>728</v>
      </c>
      <c r="M139" s="11">
        <v>14546</v>
      </c>
      <c r="N139" s="15">
        <f t="shared" si="6"/>
        <v>29.091999999999999</v>
      </c>
    </row>
    <row r="140" spans="1:14" x14ac:dyDescent="0.25">
      <c r="K140" s="11" t="s">
        <v>729</v>
      </c>
      <c r="L140" s="11" t="s">
        <v>730</v>
      </c>
      <c r="M140" s="11">
        <v>15508</v>
      </c>
      <c r="N140" s="15">
        <f t="shared" si="6"/>
        <v>31.015999999999998</v>
      </c>
    </row>
    <row r="141" spans="1:14" x14ac:dyDescent="0.25">
      <c r="K141" s="11" t="s">
        <v>731</v>
      </c>
      <c r="L141" s="11" t="s">
        <v>732</v>
      </c>
      <c r="M141" s="11">
        <v>35012</v>
      </c>
      <c r="N141" s="15">
        <f t="shared" si="6"/>
        <v>70.024000000000001</v>
      </c>
    </row>
    <row r="142" spans="1:14" x14ac:dyDescent="0.25">
      <c r="K142" s="11" t="s">
        <v>733</v>
      </c>
      <c r="L142" s="11" t="s">
        <v>734</v>
      </c>
      <c r="M142" s="11">
        <v>0</v>
      </c>
      <c r="N142" s="15">
        <f t="shared" si="6"/>
        <v>0</v>
      </c>
    </row>
    <row r="143" spans="1:14" x14ac:dyDescent="0.25">
      <c r="K143" s="11" t="s">
        <v>735</v>
      </c>
      <c r="L143" s="11" t="s">
        <v>736</v>
      </c>
      <c r="M143" s="11">
        <v>4498</v>
      </c>
      <c r="N143" s="15">
        <f t="shared" si="6"/>
        <v>8.9960000000000004</v>
      </c>
    </row>
    <row r="144" spans="1:14" x14ac:dyDescent="0.25">
      <c r="K144" s="11" t="s">
        <v>737</v>
      </c>
      <c r="L144" s="11" t="s">
        <v>738</v>
      </c>
      <c r="M144" s="11">
        <v>2322</v>
      </c>
      <c r="N144" s="15">
        <f t="shared" si="6"/>
        <v>4.6440000000000001</v>
      </c>
    </row>
    <row r="145" spans="11:14" x14ac:dyDescent="0.25">
      <c r="K145" s="11" t="s">
        <v>739</v>
      </c>
      <c r="L145" s="11" t="s">
        <v>740</v>
      </c>
      <c r="M145" s="11">
        <v>10056</v>
      </c>
      <c r="N145" s="15">
        <f t="shared" si="6"/>
        <v>20.111999999999998</v>
      </c>
    </row>
    <row r="146" spans="11:14" x14ac:dyDescent="0.25">
      <c r="K146" s="11" t="s">
        <v>687</v>
      </c>
      <c r="L146" s="11" t="s">
        <v>741</v>
      </c>
      <c r="M146" s="11">
        <v>0</v>
      </c>
      <c r="N146" s="15">
        <f t="shared" si="6"/>
        <v>0</v>
      </c>
    </row>
    <row r="147" spans="11:14" x14ac:dyDescent="0.25">
      <c r="K147" s="11" t="s">
        <v>742</v>
      </c>
      <c r="L147" s="11" t="s">
        <v>743</v>
      </c>
      <c r="M147" s="11">
        <v>962</v>
      </c>
      <c r="N147" s="15">
        <f t="shared" si="6"/>
        <v>1.9239999999999999</v>
      </c>
    </row>
    <row r="148" spans="11:14" x14ac:dyDescent="0.25">
      <c r="K148" s="11" t="s">
        <v>744</v>
      </c>
      <c r="L148" s="11" t="s">
        <v>745</v>
      </c>
      <c r="M148" s="11">
        <v>689</v>
      </c>
      <c r="N148" s="15">
        <f t="shared" si="6"/>
        <v>1.3779999999999999</v>
      </c>
    </row>
    <row r="149" spans="11:14" x14ac:dyDescent="0.25">
      <c r="K149" s="11" t="s">
        <v>746</v>
      </c>
      <c r="L149" s="11" t="s">
        <v>747</v>
      </c>
      <c r="M149" s="11">
        <v>4115</v>
      </c>
      <c r="N149" s="15">
        <f t="shared" si="6"/>
        <v>8.23</v>
      </c>
    </row>
    <row r="150" spans="11:14" x14ac:dyDescent="0.25">
      <c r="K150" s="11" t="s">
        <v>748</v>
      </c>
      <c r="L150" s="11" t="s">
        <v>749</v>
      </c>
      <c r="M150" s="11">
        <v>648</v>
      </c>
      <c r="N150" s="15">
        <f t="shared" si="6"/>
        <v>1.296</v>
      </c>
    </row>
    <row r="151" spans="11:14" x14ac:dyDescent="0.25">
      <c r="K151" s="11" t="s">
        <v>552</v>
      </c>
      <c r="L151" s="11" t="s">
        <v>750</v>
      </c>
      <c r="M151" s="11">
        <v>18794</v>
      </c>
      <c r="N151" s="15">
        <f t="shared" si="6"/>
        <v>37.588000000000001</v>
      </c>
    </row>
    <row r="152" spans="11:14" x14ac:dyDescent="0.25">
      <c r="K152" s="11" t="s">
        <v>751</v>
      </c>
      <c r="L152" s="11" t="s">
        <v>752</v>
      </c>
      <c r="M152" s="11">
        <v>3663</v>
      </c>
      <c r="N152" s="15">
        <f t="shared" si="6"/>
        <v>7.3259999999999996</v>
      </c>
    </row>
    <row r="153" spans="11:14" x14ac:dyDescent="0.25">
      <c r="K153" s="11" t="s">
        <v>753</v>
      </c>
      <c r="L153" s="11" t="s">
        <v>754</v>
      </c>
      <c r="M153" s="11">
        <v>4603</v>
      </c>
      <c r="N153" s="15">
        <f t="shared" si="6"/>
        <v>9.2059999999999995</v>
      </c>
    </row>
    <row r="154" spans="11:14" x14ac:dyDescent="0.25">
      <c r="K154" s="11" t="s">
        <v>755</v>
      </c>
      <c r="L154" s="11" t="s">
        <v>756</v>
      </c>
      <c r="M154" s="11">
        <v>3941</v>
      </c>
      <c r="N154" s="15">
        <f t="shared" si="6"/>
        <v>7.8819999999999997</v>
      </c>
    </row>
    <row r="155" spans="11:14" x14ac:dyDescent="0.25">
      <c r="K155" s="11" t="s">
        <v>757</v>
      </c>
      <c r="L155" s="11" t="s">
        <v>758</v>
      </c>
      <c r="M155" s="11">
        <v>210</v>
      </c>
      <c r="N155" s="15">
        <f t="shared" si="6"/>
        <v>0.42</v>
      </c>
    </row>
    <row r="156" spans="11:14" x14ac:dyDescent="0.25">
      <c r="K156" s="11" t="s">
        <v>759</v>
      </c>
      <c r="L156" s="11" t="s">
        <v>760</v>
      </c>
      <c r="M156" s="11">
        <v>195</v>
      </c>
      <c r="N156" s="15">
        <f t="shared" si="6"/>
        <v>0.39</v>
      </c>
    </row>
    <row r="157" spans="11:14" x14ac:dyDescent="0.25">
      <c r="K157" s="11" t="s">
        <v>761</v>
      </c>
      <c r="L157" s="11" t="s">
        <v>762</v>
      </c>
      <c r="M157" s="11">
        <v>504</v>
      </c>
      <c r="N157" s="15">
        <f t="shared" si="6"/>
        <v>1.008</v>
      </c>
    </row>
    <row r="158" spans="11:14" x14ac:dyDescent="0.25">
      <c r="K158" s="11" t="s">
        <v>763</v>
      </c>
      <c r="L158" s="11" t="s">
        <v>764</v>
      </c>
      <c r="M158" s="11">
        <v>1946</v>
      </c>
      <c r="N158" s="15">
        <f t="shared" si="6"/>
        <v>3.8919999999999999</v>
      </c>
    </row>
    <row r="159" spans="11:14" x14ac:dyDescent="0.25">
      <c r="K159" s="11" t="s">
        <v>765</v>
      </c>
      <c r="L159" s="11" t="s">
        <v>766</v>
      </c>
      <c r="M159" s="11">
        <v>2929</v>
      </c>
      <c r="N159" s="15">
        <f t="shared" si="6"/>
        <v>5.8579999999999997</v>
      </c>
    </row>
    <row r="160" spans="11:14" x14ac:dyDescent="0.25">
      <c r="K160" s="11" t="s">
        <v>767</v>
      </c>
      <c r="L160" s="11" t="s">
        <v>768</v>
      </c>
      <c r="M160" s="11">
        <v>562</v>
      </c>
      <c r="N160" s="15">
        <f t="shared" si="6"/>
        <v>1.1240000000000001</v>
      </c>
    </row>
    <row r="161" spans="11:14" x14ac:dyDescent="0.25">
      <c r="K161" s="11" t="s">
        <v>769</v>
      </c>
      <c r="L161" s="11" t="s">
        <v>770</v>
      </c>
      <c r="M161" s="11">
        <v>9349</v>
      </c>
      <c r="N161" s="15">
        <f t="shared" si="6"/>
        <v>18.698</v>
      </c>
    </row>
    <row r="162" spans="11:14" x14ac:dyDescent="0.25">
      <c r="K162" s="11" t="s">
        <v>771</v>
      </c>
      <c r="L162" s="11" t="s">
        <v>772</v>
      </c>
      <c r="M162" s="11">
        <v>21777</v>
      </c>
      <c r="N162" s="15">
        <f t="shared" si="6"/>
        <v>43.554000000000002</v>
      </c>
    </row>
    <row r="163" spans="11:14" x14ac:dyDescent="0.25">
      <c r="K163" s="16" t="s">
        <v>463</v>
      </c>
      <c r="L163" s="11" t="s">
        <v>778</v>
      </c>
      <c r="M163" s="11">
        <v>1</v>
      </c>
      <c r="N163" s="15">
        <f t="shared" si="6"/>
        <v>2E-3</v>
      </c>
    </row>
    <row r="164" spans="11:14" x14ac:dyDescent="0.25">
      <c r="K164" s="16" t="s">
        <v>463</v>
      </c>
      <c r="L164" s="11" t="s">
        <v>779</v>
      </c>
      <c r="M164" s="11">
        <v>1</v>
      </c>
      <c r="N164" s="15">
        <f t="shared" si="6"/>
        <v>2E-3</v>
      </c>
    </row>
    <row r="165" spans="11:14" x14ac:dyDescent="0.25">
      <c r="K165" s="16" t="s">
        <v>780</v>
      </c>
      <c r="L165" s="11" t="s">
        <v>781</v>
      </c>
      <c r="M165" s="11">
        <v>0</v>
      </c>
      <c r="N165" s="15">
        <f t="shared" si="6"/>
        <v>0</v>
      </c>
    </row>
    <row r="166" spans="11:14" x14ac:dyDescent="0.25">
      <c r="K166" s="16" t="s">
        <v>782</v>
      </c>
      <c r="L166" s="11" t="s">
        <v>783</v>
      </c>
      <c r="M166" s="11">
        <v>0</v>
      </c>
      <c r="N166" s="15">
        <f t="shared" si="6"/>
        <v>0</v>
      </c>
    </row>
  </sheetData>
  <mergeCells count="3">
    <mergeCell ref="A1:D1"/>
    <mergeCell ref="F1:I1"/>
    <mergeCell ref="K1:N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SETEMBRO</vt:lpstr>
      <vt:lpstr>OUTUBRO</vt:lpstr>
      <vt:lpstr>NOVEMBRO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Ildemar de Sousa</dc:creator>
  <cp:lastModifiedBy>Antonio Ildemar de Sousa</cp:lastModifiedBy>
  <dcterms:created xsi:type="dcterms:W3CDTF">2026-04-28T19:04:47Z</dcterms:created>
  <dcterms:modified xsi:type="dcterms:W3CDTF">2026-04-28T19:13:31Z</dcterms:modified>
</cp:coreProperties>
</file>